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Filippo\Documents\Proj inz\SVM\"/>
    </mc:Choice>
  </mc:AlternateContent>
  <xr:revisionPtr revIDLastSave="0" documentId="13_ncr:1_{66E3CC41-A6F8-45B6-86F2-AB35D92A6BC9}" xr6:coauthVersionLast="45" xr6:coauthVersionMax="45" xr10:uidLastSave="{00000000-0000-0000-0000-000000000000}"/>
  <bookViews>
    <workbookView xWindow="-120" yWindow="-120" windowWidth="20730" windowHeight="11160" tabRatio="916" activeTab="9" xr2:uid="{782994AB-0876-4FFA-A068-5BFF8374BABE}"/>
  </bookViews>
  <sheets>
    <sheet name="Arch 1 All G S" sheetId="21" r:id="rId1"/>
    <sheet name="Arch 2 All D 16y S" sheetId="22" r:id="rId2"/>
    <sheet name="Arch 3 All S 16n" sheetId="23" r:id="rId3"/>
    <sheet name="Lean vs All" sheetId="10" r:id="rId4"/>
    <sheet name="h0_16y_K5" sheetId="36" r:id="rId5"/>
    <sheet name="h0 Strat" sheetId="18" r:id="rId6"/>
    <sheet name="h0 K10" sheetId="8" r:id="rId7"/>
    <sheet name="h0_S" sheetId="25" r:id="rId8"/>
    <sheet name="h0 NoOtherPP" sheetId="33" r:id="rId9"/>
    <sheet name="h0 Opti K5 D" sheetId="37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7" l="1"/>
  <c r="B23" i="37"/>
  <c r="B12" i="37"/>
  <c r="E19" i="37"/>
  <c r="D18" i="37"/>
  <c r="C17" i="37"/>
  <c r="B16" i="37"/>
  <c r="E8" i="37"/>
  <c r="D7" i="37"/>
  <c r="C6" i="37"/>
  <c r="D19" i="37"/>
  <c r="C19" i="37"/>
  <c r="B19" i="37"/>
  <c r="E18" i="37"/>
  <c r="C18" i="37"/>
  <c r="B18" i="37"/>
  <c r="E17" i="37"/>
  <c r="D17" i="37"/>
  <c r="B17" i="37"/>
  <c r="E16" i="37"/>
  <c r="D16" i="37"/>
  <c r="C16" i="37"/>
  <c r="B6" i="37"/>
  <c r="D6" i="37"/>
  <c r="E6" i="37"/>
  <c r="C7" i="37"/>
  <c r="E7" i="37"/>
  <c r="B8" i="37"/>
  <c r="C8" i="37"/>
  <c r="D8" i="37"/>
  <c r="C5" i="37"/>
  <c r="D5" i="37"/>
  <c r="E5" i="37"/>
  <c r="B5" i="37"/>
  <c r="B23" i="36"/>
  <c r="B12" i="36"/>
  <c r="G21" i="36"/>
  <c r="F20" i="36"/>
  <c r="E19" i="36"/>
  <c r="D18" i="36"/>
  <c r="C17" i="36"/>
  <c r="B16" i="36"/>
  <c r="G10" i="36"/>
  <c r="F9" i="36"/>
  <c r="E8" i="36"/>
  <c r="D7" i="36"/>
  <c r="C6" i="36"/>
  <c r="F21" i="36"/>
  <c r="E21" i="36"/>
  <c r="D21" i="36"/>
  <c r="C21" i="36"/>
  <c r="B21" i="36"/>
  <c r="G20" i="36"/>
  <c r="E20" i="36"/>
  <c r="D20" i="36"/>
  <c r="C20" i="36"/>
  <c r="B20" i="36"/>
  <c r="G19" i="36"/>
  <c r="F19" i="36"/>
  <c r="D19" i="36"/>
  <c r="C19" i="36"/>
  <c r="B19" i="36"/>
  <c r="G18" i="36"/>
  <c r="F18" i="36"/>
  <c r="E18" i="36"/>
  <c r="C18" i="36"/>
  <c r="B18" i="36"/>
  <c r="G17" i="36"/>
  <c r="F17" i="36"/>
  <c r="E17" i="36"/>
  <c r="D17" i="36"/>
  <c r="B17" i="36"/>
  <c r="G16" i="36"/>
  <c r="F16" i="36"/>
  <c r="E16" i="36"/>
  <c r="D16" i="36"/>
  <c r="C16" i="36"/>
  <c r="B6" i="36"/>
  <c r="D6" i="36"/>
  <c r="E6" i="36"/>
  <c r="F6" i="36"/>
  <c r="G6" i="36"/>
  <c r="B7" i="36"/>
  <c r="C7" i="36"/>
  <c r="E7" i="36"/>
  <c r="F7" i="36"/>
  <c r="G7" i="36"/>
  <c r="B8" i="36"/>
  <c r="C8" i="36"/>
  <c r="D8" i="36"/>
  <c r="F8" i="36"/>
  <c r="G8" i="36"/>
  <c r="B9" i="36"/>
  <c r="C9" i="36"/>
  <c r="D9" i="36"/>
  <c r="E9" i="36"/>
  <c r="G9" i="36"/>
  <c r="B10" i="36"/>
  <c r="C10" i="36"/>
  <c r="D10" i="36"/>
  <c r="E10" i="36"/>
  <c r="F10" i="36"/>
  <c r="C5" i="36"/>
  <c r="D5" i="36"/>
  <c r="E5" i="36"/>
  <c r="F5" i="36"/>
  <c r="G5" i="36"/>
  <c r="B5" i="36"/>
  <c r="B23" i="33"/>
  <c r="E8" i="33" l="1"/>
  <c r="B12" i="33"/>
  <c r="B17" i="33"/>
  <c r="C17" i="33"/>
  <c r="D17" i="33"/>
  <c r="E17" i="33"/>
  <c r="B18" i="33"/>
  <c r="C18" i="33"/>
  <c r="D18" i="33"/>
  <c r="E18" i="33"/>
  <c r="B19" i="33"/>
  <c r="C19" i="33"/>
  <c r="D19" i="33"/>
  <c r="E19" i="33"/>
  <c r="C16" i="33"/>
  <c r="D16" i="33"/>
  <c r="E16" i="33"/>
  <c r="B16" i="33"/>
  <c r="B6" i="33"/>
  <c r="C6" i="33"/>
  <c r="D6" i="33"/>
  <c r="E6" i="33"/>
  <c r="B7" i="33"/>
  <c r="C7" i="33"/>
  <c r="D7" i="33"/>
  <c r="E7" i="33"/>
  <c r="B8" i="33"/>
  <c r="C8" i="33"/>
  <c r="D8" i="33"/>
  <c r="C5" i="33"/>
  <c r="D5" i="33"/>
  <c r="E5" i="33"/>
  <c r="B5" i="33"/>
  <c r="B51" i="25" l="1"/>
  <c r="C51" i="25"/>
  <c r="D51" i="25"/>
  <c r="E51" i="25"/>
  <c r="F51" i="25"/>
  <c r="G51" i="25"/>
  <c r="B52" i="25"/>
  <c r="C52" i="25"/>
  <c r="D52" i="25"/>
  <c r="E52" i="25"/>
  <c r="F52" i="25"/>
  <c r="G52" i="25"/>
  <c r="B53" i="25"/>
  <c r="C53" i="25"/>
  <c r="D53" i="25"/>
  <c r="E53" i="25"/>
  <c r="F53" i="25"/>
  <c r="G53" i="25"/>
  <c r="B54" i="25"/>
  <c r="C54" i="25"/>
  <c r="D54" i="25"/>
  <c r="E54" i="25"/>
  <c r="F54" i="25"/>
  <c r="G54" i="25"/>
  <c r="B55" i="25"/>
  <c r="C55" i="25"/>
  <c r="D55" i="25"/>
  <c r="E55" i="25"/>
  <c r="F55" i="25"/>
  <c r="G55" i="25"/>
  <c r="B56" i="25"/>
  <c r="C56" i="25"/>
  <c r="D56" i="25"/>
  <c r="E56" i="25"/>
  <c r="F56" i="25"/>
  <c r="G56" i="25"/>
  <c r="B58" i="25"/>
  <c r="B62" i="25"/>
  <c r="C62" i="25"/>
  <c r="D62" i="25"/>
  <c r="E62" i="25"/>
  <c r="F62" i="25"/>
  <c r="G62" i="25"/>
  <c r="B63" i="25"/>
  <c r="C63" i="25"/>
  <c r="D63" i="25"/>
  <c r="E63" i="25"/>
  <c r="F63" i="25"/>
  <c r="G63" i="25"/>
  <c r="B64" i="25"/>
  <c r="C64" i="25"/>
  <c r="D64" i="25"/>
  <c r="E64" i="25"/>
  <c r="F64" i="25"/>
  <c r="G64" i="25"/>
  <c r="B65" i="25"/>
  <c r="C65" i="25"/>
  <c r="D65" i="25"/>
  <c r="E65" i="25"/>
  <c r="F65" i="25"/>
  <c r="G65" i="25"/>
  <c r="B66" i="25"/>
  <c r="C66" i="25"/>
  <c r="D66" i="25"/>
  <c r="E66" i="25"/>
  <c r="F66" i="25"/>
  <c r="G66" i="25"/>
  <c r="B67" i="25"/>
  <c r="C67" i="25"/>
  <c r="D67" i="25"/>
  <c r="E67" i="25"/>
  <c r="F67" i="25"/>
  <c r="G67" i="25"/>
  <c r="B69" i="25"/>
  <c r="B28" i="25"/>
  <c r="C28" i="25"/>
  <c r="D28" i="25"/>
  <c r="E28" i="25"/>
  <c r="F28" i="25"/>
  <c r="G28" i="25"/>
  <c r="B29" i="25"/>
  <c r="C29" i="25"/>
  <c r="D29" i="25"/>
  <c r="E29" i="25"/>
  <c r="F29" i="25"/>
  <c r="G29" i="25"/>
  <c r="B30" i="25"/>
  <c r="C30" i="25"/>
  <c r="D30" i="25"/>
  <c r="E30" i="25"/>
  <c r="F30" i="25"/>
  <c r="G30" i="25"/>
  <c r="B31" i="25"/>
  <c r="C31" i="25"/>
  <c r="D31" i="25"/>
  <c r="E31" i="25"/>
  <c r="F31" i="25"/>
  <c r="G31" i="25"/>
  <c r="B32" i="25"/>
  <c r="C32" i="25"/>
  <c r="D32" i="25"/>
  <c r="E32" i="25"/>
  <c r="F32" i="25"/>
  <c r="G32" i="25"/>
  <c r="B33" i="25"/>
  <c r="C33" i="25"/>
  <c r="D33" i="25"/>
  <c r="E33" i="25"/>
  <c r="F33" i="25"/>
  <c r="G33" i="25"/>
  <c r="B35" i="25"/>
  <c r="B39" i="25"/>
  <c r="C39" i="25"/>
  <c r="D39" i="25"/>
  <c r="E39" i="25"/>
  <c r="F39" i="25"/>
  <c r="G39" i="25"/>
  <c r="B40" i="25"/>
  <c r="C40" i="25"/>
  <c r="D40" i="25"/>
  <c r="E40" i="25"/>
  <c r="F40" i="25"/>
  <c r="G40" i="25"/>
  <c r="B41" i="25"/>
  <c r="C41" i="25"/>
  <c r="D41" i="25"/>
  <c r="E41" i="25"/>
  <c r="F41" i="25"/>
  <c r="G41" i="25"/>
  <c r="B42" i="25"/>
  <c r="C42" i="25"/>
  <c r="D42" i="25"/>
  <c r="E42" i="25"/>
  <c r="F42" i="25"/>
  <c r="G42" i="25"/>
  <c r="B43" i="25"/>
  <c r="C43" i="25"/>
  <c r="D43" i="25"/>
  <c r="E43" i="25"/>
  <c r="F43" i="25"/>
  <c r="G43" i="25"/>
  <c r="B44" i="25"/>
  <c r="C44" i="25"/>
  <c r="D44" i="25"/>
  <c r="E44" i="25"/>
  <c r="F44" i="25"/>
  <c r="G44" i="25"/>
  <c r="B46" i="25"/>
  <c r="AA35" i="18"/>
  <c r="AA34" i="18"/>
  <c r="Z35" i="18" l="1"/>
  <c r="Y35" i="18"/>
  <c r="U10" i="10"/>
  <c r="C17" i="23"/>
  <c r="B16" i="23"/>
  <c r="B16" i="25"/>
  <c r="F20" i="25"/>
  <c r="C17" i="25"/>
  <c r="B29" i="23"/>
  <c r="C29" i="23"/>
  <c r="D29" i="23"/>
  <c r="E29" i="23"/>
  <c r="F29" i="23"/>
  <c r="G29" i="23"/>
  <c r="B30" i="23"/>
  <c r="C30" i="23"/>
  <c r="D30" i="23"/>
  <c r="E30" i="23"/>
  <c r="F30" i="23"/>
  <c r="G30" i="23"/>
  <c r="B31" i="23"/>
  <c r="C31" i="23"/>
  <c r="D31" i="23"/>
  <c r="E31" i="23"/>
  <c r="F31" i="23"/>
  <c r="G31" i="23"/>
  <c r="B32" i="23"/>
  <c r="C32" i="23"/>
  <c r="D32" i="23"/>
  <c r="E32" i="23"/>
  <c r="F32" i="23"/>
  <c r="G32" i="23"/>
  <c r="B33" i="23"/>
  <c r="C33" i="23"/>
  <c r="D33" i="23"/>
  <c r="E33" i="23"/>
  <c r="F33" i="23"/>
  <c r="G33" i="23"/>
  <c r="B34" i="23"/>
  <c r="C34" i="23"/>
  <c r="D34" i="23"/>
  <c r="E34" i="23"/>
  <c r="F34" i="23"/>
  <c r="G34" i="23"/>
  <c r="B36" i="23"/>
  <c r="B40" i="23"/>
  <c r="C40" i="23"/>
  <c r="D40" i="23"/>
  <c r="E40" i="23"/>
  <c r="F40" i="23"/>
  <c r="G40" i="23"/>
  <c r="B41" i="23"/>
  <c r="C41" i="23"/>
  <c r="D41" i="23"/>
  <c r="E41" i="23"/>
  <c r="F41" i="23"/>
  <c r="G41" i="23"/>
  <c r="B42" i="23"/>
  <c r="C42" i="23"/>
  <c r="D42" i="23"/>
  <c r="E42" i="23"/>
  <c r="F42" i="23"/>
  <c r="G42" i="23"/>
  <c r="B43" i="23"/>
  <c r="C43" i="23"/>
  <c r="D43" i="23"/>
  <c r="E43" i="23"/>
  <c r="F43" i="23"/>
  <c r="G43" i="23"/>
  <c r="B44" i="23"/>
  <c r="C44" i="23"/>
  <c r="D44" i="23"/>
  <c r="E44" i="23"/>
  <c r="F44" i="23"/>
  <c r="G44" i="23"/>
  <c r="B45" i="23"/>
  <c r="C45" i="23"/>
  <c r="D45" i="23"/>
  <c r="E45" i="23"/>
  <c r="F45" i="23"/>
  <c r="G45" i="23"/>
  <c r="B47" i="23"/>
  <c r="B23" i="25"/>
  <c r="B12" i="25"/>
  <c r="G21" i="25"/>
  <c r="E19" i="25"/>
  <c r="D18" i="25"/>
  <c r="G10" i="25"/>
  <c r="F9" i="25"/>
  <c r="E8" i="25"/>
  <c r="D7" i="25"/>
  <c r="C6" i="25"/>
  <c r="F21" i="25"/>
  <c r="E21" i="25"/>
  <c r="D21" i="25"/>
  <c r="C21" i="25"/>
  <c r="B21" i="25"/>
  <c r="G20" i="25"/>
  <c r="E20" i="25"/>
  <c r="D20" i="25"/>
  <c r="C20" i="25"/>
  <c r="B20" i="25"/>
  <c r="G19" i="25"/>
  <c r="F19" i="25"/>
  <c r="D19" i="25"/>
  <c r="C19" i="25"/>
  <c r="B19" i="25"/>
  <c r="G18" i="25"/>
  <c r="F18" i="25"/>
  <c r="E18" i="25"/>
  <c r="C18" i="25"/>
  <c r="B18" i="25"/>
  <c r="G17" i="25"/>
  <c r="F17" i="25"/>
  <c r="E17" i="25"/>
  <c r="D17" i="25"/>
  <c r="B17" i="25"/>
  <c r="G16" i="25"/>
  <c r="F16" i="25"/>
  <c r="E16" i="25"/>
  <c r="D16" i="25"/>
  <c r="C16" i="25"/>
  <c r="B6" i="25"/>
  <c r="D6" i="25"/>
  <c r="E6" i="25"/>
  <c r="F6" i="25"/>
  <c r="G6" i="25"/>
  <c r="B7" i="25"/>
  <c r="C7" i="25"/>
  <c r="E7" i="25"/>
  <c r="F7" i="25"/>
  <c r="G7" i="25"/>
  <c r="B8" i="25"/>
  <c r="C8" i="25"/>
  <c r="D8" i="25"/>
  <c r="F8" i="25"/>
  <c r="G8" i="25"/>
  <c r="B9" i="25"/>
  <c r="C9" i="25"/>
  <c r="D9" i="25"/>
  <c r="E9" i="25"/>
  <c r="G9" i="25"/>
  <c r="B10" i="25"/>
  <c r="C10" i="25"/>
  <c r="D10" i="25"/>
  <c r="E10" i="25"/>
  <c r="F10" i="25"/>
  <c r="C5" i="25"/>
  <c r="D5" i="25"/>
  <c r="E5" i="25"/>
  <c r="F5" i="25"/>
  <c r="G5" i="25"/>
  <c r="B5" i="25"/>
  <c r="F20" i="23"/>
  <c r="E19" i="23"/>
  <c r="D18" i="23"/>
  <c r="B22" i="22"/>
  <c r="B23" i="23"/>
  <c r="B12" i="23"/>
  <c r="G21" i="23"/>
  <c r="G10" i="23"/>
  <c r="F9" i="23"/>
  <c r="E8" i="23"/>
  <c r="D7" i="23"/>
  <c r="C6" i="23"/>
  <c r="F21" i="23"/>
  <c r="E21" i="23"/>
  <c r="D21" i="23"/>
  <c r="C21" i="23"/>
  <c r="B21" i="23"/>
  <c r="G20" i="23"/>
  <c r="E20" i="23"/>
  <c r="D20" i="23"/>
  <c r="C20" i="23"/>
  <c r="B20" i="23"/>
  <c r="G19" i="23"/>
  <c r="F19" i="23"/>
  <c r="D19" i="23"/>
  <c r="C19" i="23"/>
  <c r="B19" i="23"/>
  <c r="G18" i="23"/>
  <c r="F18" i="23"/>
  <c r="E18" i="23"/>
  <c r="C18" i="23"/>
  <c r="B18" i="23"/>
  <c r="G17" i="23"/>
  <c r="F17" i="23"/>
  <c r="E17" i="23"/>
  <c r="D17" i="23"/>
  <c r="B17" i="23"/>
  <c r="G16" i="23"/>
  <c r="F16" i="23"/>
  <c r="E16" i="23"/>
  <c r="D16" i="23"/>
  <c r="C16" i="23"/>
  <c r="B6" i="23"/>
  <c r="D6" i="23"/>
  <c r="E6" i="23"/>
  <c r="F6" i="23"/>
  <c r="G6" i="23"/>
  <c r="B7" i="23"/>
  <c r="C7" i="23"/>
  <c r="E7" i="23"/>
  <c r="F7" i="23"/>
  <c r="G7" i="23"/>
  <c r="B8" i="23"/>
  <c r="C8" i="23"/>
  <c r="D8" i="23"/>
  <c r="F8" i="23"/>
  <c r="G8" i="23"/>
  <c r="B9" i="23"/>
  <c r="C9" i="23"/>
  <c r="D9" i="23"/>
  <c r="E9" i="23"/>
  <c r="G9" i="23"/>
  <c r="B10" i="23"/>
  <c r="C10" i="23"/>
  <c r="D10" i="23"/>
  <c r="E10" i="23"/>
  <c r="F10" i="23"/>
  <c r="C5" i="23"/>
  <c r="D5" i="23"/>
  <c r="E5" i="23"/>
  <c r="F5" i="23"/>
  <c r="G5" i="23"/>
  <c r="B5" i="23"/>
  <c r="G22" i="22"/>
  <c r="F22" i="22"/>
  <c r="E22" i="22"/>
  <c r="D22" i="22"/>
  <c r="C22" i="22"/>
  <c r="B30" i="22"/>
  <c r="C30" i="22"/>
  <c r="D30" i="22"/>
  <c r="E30" i="22"/>
  <c r="F30" i="22"/>
  <c r="G30" i="22"/>
  <c r="B31" i="22"/>
  <c r="C31" i="22"/>
  <c r="D31" i="22"/>
  <c r="E31" i="22"/>
  <c r="F31" i="22"/>
  <c r="G31" i="22"/>
  <c r="B32" i="22"/>
  <c r="C32" i="22"/>
  <c r="D32" i="22"/>
  <c r="E32" i="22"/>
  <c r="F32" i="22"/>
  <c r="G32" i="22"/>
  <c r="B33" i="22"/>
  <c r="C33" i="22"/>
  <c r="D33" i="22"/>
  <c r="E33" i="22"/>
  <c r="F33" i="22"/>
  <c r="G33" i="22"/>
  <c r="B34" i="22"/>
  <c r="C34" i="22"/>
  <c r="D34" i="22"/>
  <c r="E34" i="22"/>
  <c r="F34" i="22"/>
  <c r="G34" i="22"/>
  <c r="B35" i="22"/>
  <c r="C35" i="22"/>
  <c r="D35" i="22"/>
  <c r="E35" i="22"/>
  <c r="F35" i="22"/>
  <c r="G35" i="22"/>
  <c r="B37" i="22"/>
  <c r="B41" i="22"/>
  <c r="C41" i="22"/>
  <c r="D41" i="22"/>
  <c r="E41" i="22"/>
  <c r="F41" i="22"/>
  <c r="G41" i="22"/>
  <c r="B42" i="22"/>
  <c r="C42" i="22"/>
  <c r="D42" i="22"/>
  <c r="E42" i="22"/>
  <c r="F42" i="22"/>
  <c r="G42" i="22"/>
  <c r="B43" i="22"/>
  <c r="C43" i="22"/>
  <c r="D43" i="22"/>
  <c r="E43" i="22"/>
  <c r="F43" i="22"/>
  <c r="G43" i="22"/>
  <c r="B44" i="22"/>
  <c r="C44" i="22"/>
  <c r="D44" i="22"/>
  <c r="E44" i="22"/>
  <c r="F44" i="22"/>
  <c r="G44" i="22"/>
  <c r="B45" i="22"/>
  <c r="C45" i="22"/>
  <c r="D45" i="22"/>
  <c r="E45" i="22"/>
  <c r="F45" i="22"/>
  <c r="G45" i="22"/>
  <c r="B46" i="22"/>
  <c r="C46" i="22"/>
  <c r="D46" i="22"/>
  <c r="E46" i="22"/>
  <c r="F46" i="22"/>
  <c r="G46" i="22"/>
  <c r="B48" i="22"/>
  <c r="B30" i="21"/>
  <c r="C30" i="21"/>
  <c r="D30" i="21"/>
  <c r="E30" i="21"/>
  <c r="F30" i="21"/>
  <c r="G30" i="21"/>
  <c r="B31" i="21"/>
  <c r="C31" i="21"/>
  <c r="D31" i="21"/>
  <c r="E31" i="21"/>
  <c r="F31" i="21"/>
  <c r="G31" i="21"/>
  <c r="B32" i="21"/>
  <c r="C32" i="21"/>
  <c r="D32" i="21"/>
  <c r="E32" i="21"/>
  <c r="F32" i="21"/>
  <c r="G32" i="21"/>
  <c r="B33" i="21"/>
  <c r="C33" i="21"/>
  <c r="D33" i="21"/>
  <c r="E33" i="21"/>
  <c r="F33" i="21"/>
  <c r="G33" i="21"/>
  <c r="B34" i="21"/>
  <c r="C34" i="21"/>
  <c r="D34" i="21"/>
  <c r="E34" i="21"/>
  <c r="F34" i="21"/>
  <c r="G34" i="21"/>
  <c r="B35" i="21"/>
  <c r="C35" i="21"/>
  <c r="D35" i="21"/>
  <c r="E35" i="21"/>
  <c r="F35" i="21"/>
  <c r="G35" i="21"/>
  <c r="B37" i="21"/>
  <c r="B41" i="21"/>
  <c r="C41" i="21"/>
  <c r="D41" i="21"/>
  <c r="E41" i="21"/>
  <c r="F41" i="21"/>
  <c r="G41" i="21"/>
  <c r="B42" i="21"/>
  <c r="C42" i="21"/>
  <c r="D42" i="21"/>
  <c r="E42" i="21"/>
  <c r="F42" i="21"/>
  <c r="G42" i="21"/>
  <c r="B43" i="21"/>
  <c r="C43" i="21"/>
  <c r="D43" i="21"/>
  <c r="E43" i="21"/>
  <c r="F43" i="21"/>
  <c r="G43" i="21"/>
  <c r="B44" i="21"/>
  <c r="C44" i="21"/>
  <c r="D44" i="21"/>
  <c r="E44" i="21"/>
  <c r="F44" i="21"/>
  <c r="G44" i="21"/>
  <c r="B45" i="21"/>
  <c r="C45" i="21"/>
  <c r="D45" i="21"/>
  <c r="E45" i="21"/>
  <c r="F45" i="21"/>
  <c r="G45" i="21"/>
  <c r="B46" i="21"/>
  <c r="C46" i="21"/>
  <c r="D46" i="21"/>
  <c r="E46" i="21"/>
  <c r="F46" i="21"/>
  <c r="G46" i="21"/>
  <c r="B48" i="21"/>
  <c r="G21" i="22" l="1"/>
  <c r="F20" i="22"/>
  <c r="C17" i="22"/>
  <c r="B23" i="22"/>
  <c r="B12" i="22"/>
  <c r="E19" i="22"/>
  <c r="D18" i="22"/>
  <c r="B16" i="22"/>
  <c r="G10" i="22"/>
  <c r="F9" i="22"/>
  <c r="E8" i="22"/>
  <c r="D7" i="22"/>
  <c r="C6" i="22"/>
  <c r="F21" i="22"/>
  <c r="E21" i="22"/>
  <c r="D21" i="22"/>
  <c r="C21" i="22"/>
  <c r="B21" i="22"/>
  <c r="G20" i="22"/>
  <c r="E20" i="22"/>
  <c r="D20" i="22"/>
  <c r="C20" i="22"/>
  <c r="B20" i="22"/>
  <c r="G19" i="22"/>
  <c r="F19" i="22"/>
  <c r="D19" i="22"/>
  <c r="C19" i="22"/>
  <c r="B19" i="22"/>
  <c r="G18" i="22"/>
  <c r="F18" i="22"/>
  <c r="E18" i="22"/>
  <c r="C18" i="22"/>
  <c r="B18" i="22"/>
  <c r="G17" i="22"/>
  <c r="F17" i="22"/>
  <c r="E17" i="22"/>
  <c r="D17" i="22"/>
  <c r="B17" i="22"/>
  <c r="G16" i="22"/>
  <c r="F16" i="22"/>
  <c r="E16" i="22"/>
  <c r="D16" i="22"/>
  <c r="C16" i="22"/>
  <c r="B6" i="22"/>
  <c r="D6" i="22"/>
  <c r="E6" i="22"/>
  <c r="F6" i="22"/>
  <c r="G6" i="22"/>
  <c r="B7" i="22"/>
  <c r="C7" i="22"/>
  <c r="E7" i="22"/>
  <c r="F7" i="22"/>
  <c r="G7" i="22"/>
  <c r="B8" i="22"/>
  <c r="C8" i="22"/>
  <c r="D8" i="22"/>
  <c r="F8" i="22"/>
  <c r="G8" i="22"/>
  <c r="B9" i="22"/>
  <c r="C9" i="22"/>
  <c r="D9" i="22"/>
  <c r="E9" i="22"/>
  <c r="G9" i="22"/>
  <c r="B10" i="22"/>
  <c r="C10" i="22"/>
  <c r="D10" i="22"/>
  <c r="E10" i="22"/>
  <c r="F10" i="22"/>
  <c r="C5" i="22"/>
  <c r="D5" i="22"/>
  <c r="E5" i="22"/>
  <c r="F5" i="22"/>
  <c r="G5" i="22"/>
  <c r="B5" i="22"/>
  <c r="B23" i="21"/>
  <c r="B12" i="21"/>
  <c r="G21" i="21"/>
  <c r="F20" i="21"/>
  <c r="E19" i="21"/>
  <c r="D18" i="21"/>
  <c r="C17" i="21"/>
  <c r="B16" i="21"/>
  <c r="G10" i="21"/>
  <c r="F9" i="21"/>
  <c r="E8" i="21"/>
  <c r="D7" i="21"/>
  <c r="C6" i="21"/>
  <c r="F21" i="21"/>
  <c r="E21" i="21"/>
  <c r="D21" i="21"/>
  <c r="C21" i="21"/>
  <c r="B21" i="21"/>
  <c r="G20" i="21"/>
  <c r="E20" i="21"/>
  <c r="D20" i="21"/>
  <c r="C20" i="21"/>
  <c r="C22" i="21" s="1"/>
  <c r="B20" i="21"/>
  <c r="G19" i="21"/>
  <c r="F19" i="21"/>
  <c r="D19" i="21"/>
  <c r="C19" i="21"/>
  <c r="B19" i="21"/>
  <c r="G18" i="21"/>
  <c r="F18" i="21"/>
  <c r="E18" i="21"/>
  <c r="C18" i="21"/>
  <c r="B18" i="21"/>
  <c r="G17" i="21"/>
  <c r="F17" i="21"/>
  <c r="E17" i="21"/>
  <c r="D17" i="21"/>
  <c r="B17" i="21"/>
  <c r="G16" i="21"/>
  <c r="F16" i="21"/>
  <c r="E16" i="21"/>
  <c r="D16" i="21"/>
  <c r="C16" i="21"/>
  <c r="B6" i="21"/>
  <c r="D6" i="21"/>
  <c r="E6" i="21"/>
  <c r="F6" i="21"/>
  <c r="G6" i="21"/>
  <c r="B7" i="21"/>
  <c r="C7" i="21"/>
  <c r="E7" i="21"/>
  <c r="F7" i="21"/>
  <c r="G7" i="21"/>
  <c r="B8" i="21"/>
  <c r="C8" i="21"/>
  <c r="D8" i="21"/>
  <c r="F8" i="21"/>
  <c r="G8" i="21"/>
  <c r="B9" i="21"/>
  <c r="C9" i="21"/>
  <c r="D9" i="21"/>
  <c r="E9" i="21"/>
  <c r="G9" i="21"/>
  <c r="B10" i="21"/>
  <c r="C10" i="21"/>
  <c r="D10" i="21"/>
  <c r="E10" i="21"/>
  <c r="F10" i="21"/>
  <c r="C5" i="21"/>
  <c r="D5" i="21"/>
  <c r="E5" i="21"/>
  <c r="F5" i="21"/>
  <c r="G5" i="21"/>
  <c r="B5" i="21"/>
  <c r="C17" i="18" l="1"/>
  <c r="F20" i="18"/>
  <c r="AA30" i="18" l="1"/>
  <c r="AA31" i="18"/>
  <c r="AA32" i="18"/>
  <c r="AA33" i="18"/>
  <c r="AA29" i="18"/>
  <c r="B23" i="18"/>
  <c r="B12" i="18"/>
  <c r="G21" i="18"/>
  <c r="E19" i="18"/>
  <c r="D18" i="18"/>
  <c r="B16" i="18"/>
  <c r="G10" i="18"/>
  <c r="F9" i="18"/>
  <c r="E8" i="18"/>
  <c r="D7" i="18"/>
  <c r="C6" i="18"/>
  <c r="F21" i="18"/>
  <c r="E21" i="18"/>
  <c r="D21" i="18"/>
  <c r="C21" i="18"/>
  <c r="B21" i="18"/>
  <c r="G20" i="18"/>
  <c r="E20" i="18"/>
  <c r="D20" i="18"/>
  <c r="C20" i="18"/>
  <c r="B20" i="18"/>
  <c r="G19" i="18"/>
  <c r="F19" i="18"/>
  <c r="D19" i="18"/>
  <c r="C19" i="18"/>
  <c r="B19" i="18"/>
  <c r="G18" i="18"/>
  <c r="F18" i="18"/>
  <c r="E18" i="18"/>
  <c r="C18" i="18"/>
  <c r="B18" i="18"/>
  <c r="G17" i="18"/>
  <c r="F17" i="18"/>
  <c r="E17" i="18"/>
  <c r="D17" i="18"/>
  <c r="B17" i="18"/>
  <c r="G16" i="18"/>
  <c r="F16" i="18"/>
  <c r="E16" i="18"/>
  <c r="D16" i="18"/>
  <c r="C16" i="18"/>
  <c r="B6" i="18"/>
  <c r="D6" i="18"/>
  <c r="E6" i="18"/>
  <c r="F6" i="18"/>
  <c r="G6" i="18"/>
  <c r="B7" i="18"/>
  <c r="C7" i="18"/>
  <c r="E7" i="18"/>
  <c r="F7" i="18"/>
  <c r="G7" i="18"/>
  <c r="B8" i="18"/>
  <c r="C8" i="18"/>
  <c r="D8" i="18"/>
  <c r="F8" i="18"/>
  <c r="G8" i="18"/>
  <c r="B9" i="18"/>
  <c r="C9" i="18"/>
  <c r="D9" i="18"/>
  <c r="E9" i="18"/>
  <c r="G9" i="18"/>
  <c r="B10" i="18"/>
  <c r="C10" i="18"/>
  <c r="D10" i="18"/>
  <c r="E10" i="18"/>
  <c r="F10" i="18"/>
  <c r="C5" i="18"/>
  <c r="D5" i="18"/>
  <c r="E5" i="18"/>
  <c r="F5" i="18"/>
  <c r="G5" i="18"/>
  <c r="B5" i="18"/>
  <c r="D18" i="8" l="1"/>
  <c r="D6" i="8"/>
  <c r="E6" i="8"/>
  <c r="F6" i="8"/>
  <c r="G6" i="8"/>
  <c r="C7" i="8"/>
  <c r="C8" i="8"/>
  <c r="C9" i="8"/>
  <c r="C10" i="8"/>
  <c r="B8" i="8"/>
  <c r="B9" i="8"/>
  <c r="B10" i="8"/>
  <c r="B7" i="8"/>
  <c r="B6" i="8"/>
  <c r="C6" i="8"/>
  <c r="B5" i="8"/>
  <c r="F20" i="8"/>
  <c r="B23" i="8"/>
  <c r="E19" i="8"/>
  <c r="B16" i="8"/>
  <c r="C17" i="8"/>
  <c r="G21" i="8"/>
  <c r="D7" i="8"/>
  <c r="E8" i="8"/>
  <c r="F9" i="8"/>
  <c r="G10" i="8"/>
  <c r="B12" i="8"/>
  <c r="F21" i="8"/>
  <c r="E21" i="8"/>
  <c r="D21" i="8"/>
  <c r="C21" i="8"/>
  <c r="B21" i="8"/>
  <c r="G20" i="8"/>
  <c r="E20" i="8"/>
  <c r="D20" i="8"/>
  <c r="C20" i="8"/>
  <c r="B20" i="8"/>
  <c r="G19" i="8"/>
  <c r="F19" i="8"/>
  <c r="D19" i="8"/>
  <c r="C19" i="8"/>
  <c r="B19" i="8"/>
  <c r="G18" i="8"/>
  <c r="F18" i="8"/>
  <c r="E18" i="8"/>
  <c r="C18" i="8"/>
  <c r="B18" i="8"/>
  <c r="G17" i="8"/>
  <c r="F17" i="8"/>
  <c r="E17" i="8"/>
  <c r="D17" i="8"/>
  <c r="B17" i="8"/>
  <c r="G16" i="8"/>
  <c r="F16" i="8"/>
  <c r="E16" i="8"/>
  <c r="D16" i="8"/>
  <c r="C16" i="8"/>
  <c r="E7" i="8"/>
  <c r="F7" i="8"/>
  <c r="G7" i="8"/>
  <c r="D8" i="8"/>
  <c r="F8" i="8"/>
  <c r="G8" i="8"/>
  <c r="D9" i="8"/>
  <c r="E9" i="8"/>
  <c r="G9" i="8"/>
  <c r="D10" i="8"/>
  <c r="E10" i="8"/>
  <c r="F10" i="8"/>
  <c r="C5" i="8"/>
  <c r="D5" i="8"/>
  <c r="E5" i="8"/>
  <c r="F5" i="8"/>
  <c r="G5" i="8"/>
  <c r="S7" i="10" l="1"/>
  <c r="P7" i="10"/>
  <c r="Q7" i="10"/>
  <c r="R5" i="10"/>
  <c r="S9" i="10"/>
  <c r="S5" i="10"/>
  <c r="U7" i="10"/>
  <c r="Q10" i="10"/>
  <c r="R10" i="10"/>
  <c r="R6" i="10"/>
  <c r="T10" i="10"/>
  <c r="U5" i="10"/>
  <c r="P6" i="10"/>
  <c r="U8" i="10"/>
  <c r="S6" i="10"/>
  <c r="P10" i="10"/>
  <c r="T8" i="10"/>
  <c r="P9" i="10"/>
  <c r="T5" i="10"/>
  <c r="T7" i="10"/>
  <c r="Q6" i="10"/>
  <c r="Q8" i="10"/>
  <c r="P12" i="10"/>
  <c r="S10" i="10"/>
  <c r="Q5" i="10"/>
  <c r="U6" i="10"/>
  <c r="U9" i="10"/>
  <c r="R8" i="10"/>
  <c r="S8" i="10"/>
  <c r="T9" i="10"/>
  <c r="T6" i="10"/>
  <c r="R7" i="10"/>
  <c r="P5" i="10"/>
  <c r="R9" i="10"/>
  <c r="P8" i="10"/>
  <c r="Q9" i="10"/>
  <c r="S18" i="10"/>
  <c r="Q18" i="10"/>
  <c r="S16" i="10"/>
  <c r="P19" i="10"/>
  <c r="R17" i="10"/>
  <c r="P16" i="10"/>
  <c r="P20" i="10"/>
  <c r="U20" i="10"/>
  <c r="S19" i="10"/>
  <c r="T19" i="10"/>
  <c r="Q16" i="10"/>
  <c r="U17" i="10"/>
  <c r="Q20" i="10"/>
  <c r="R20" i="10"/>
  <c r="R21" i="10"/>
  <c r="P18" i="10"/>
  <c r="R19" i="10"/>
  <c r="T17" i="10"/>
  <c r="S20" i="10"/>
  <c r="S17" i="10"/>
  <c r="T16" i="10"/>
  <c r="T18" i="10"/>
  <c r="U19" i="10"/>
  <c r="R18" i="10"/>
  <c r="T21" i="10"/>
  <c r="U16" i="10"/>
  <c r="U21" i="10"/>
  <c r="Q17" i="10"/>
  <c r="P21" i="10"/>
  <c r="Q21" i="10"/>
  <c r="P17" i="10"/>
  <c r="U18" i="10"/>
  <c r="T20" i="10"/>
  <c r="P23" i="10"/>
  <c r="R16" i="10"/>
  <c r="Q19" i="10"/>
  <c r="S21" i="10"/>
</calcChain>
</file>

<file path=xl/sharedStrings.xml><?xml version="1.0" encoding="utf-8"?>
<sst xmlns="http://schemas.openxmlformats.org/spreadsheetml/2006/main" count="449" uniqueCount="31">
  <si>
    <t>HDPE</t>
  </si>
  <si>
    <t>Other</t>
  </si>
  <si>
    <t>LDPE</t>
  </si>
  <si>
    <t>PET</t>
  </si>
  <si>
    <t>PP</t>
  </si>
  <si>
    <t>PS</t>
  </si>
  <si>
    <t>Wadaba - 20 zdj / obiekt</t>
  </si>
  <si>
    <t>Wadaba Wychudzone - 4 zdj / obiekt</t>
  </si>
  <si>
    <t>Średnia</t>
  </si>
  <si>
    <t>"+" Wychudzona zwiększa dokładność;      "-" Zmniejsza</t>
  </si>
  <si>
    <t>"=" Wadaba - Wadaba Wychudzona</t>
  </si>
  <si>
    <t xml:space="preserve">HDPE   </t>
  </si>
  <si>
    <t xml:space="preserve">LDPE   </t>
  </si>
  <si>
    <t xml:space="preserve">Other   </t>
  </si>
  <si>
    <t xml:space="preserve">PET   </t>
  </si>
  <si>
    <t xml:space="preserve"> PS</t>
  </si>
  <si>
    <t>PP vs NO PP</t>
  </si>
  <si>
    <t>NO PP</t>
  </si>
  <si>
    <t>WITH PP</t>
  </si>
  <si>
    <t>ARCHIVE ALL G RAND -----------------------------------------------------------</t>
  </si>
  <si>
    <t>ARCHIVE ALL D RAND -----------------------------------------------------------</t>
  </si>
  <si>
    <t>ARCHIVE ALL 16n RAND -----------------------------------------------------------</t>
  </si>
  <si>
    <t>Łącznie</t>
  </si>
  <si>
    <t>Wszystkie</t>
  </si>
  <si>
    <t>Uczący</t>
  </si>
  <si>
    <t>Testowy</t>
  </si>
  <si>
    <t>Testowy/Wszystkie</t>
  </si>
  <si>
    <t>h0_S_rng1</t>
  </si>
  <si>
    <t>rng 1 K 10</t>
  </si>
  <si>
    <t>PET_bot</t>
  </si>
  <si>
    <t>Misc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</si>
</sst>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" fillId="0" borderId="0" xfId="0" applyFont="1"/>
    <xf numFmtId="2" fontId="1" fillId="2" borderId="0" xfId="0" applyNumberFormat="1" applyFont="1" applyFill="1"/>
    <xf numFmtId="2" fontId="1" fillId="3" borderId="0" xfId="0" applyNumberFormat="1" applyFont="1" applyFill="1"/>
    <xf numFmtId="0" fontId="1" fillId="4" borderId="0" xfId="0" applyFont="1" applyFill="1"/>
    <xf numFmtId="0" fontId="0" fillId="5" borderId="0" xfId="0" applyNumberFormat="1" applyFill="1"/>
    <xf numFmtId="0" fontId="0" fillId="5" borderId="0" xfId="0" applyFill="1"/>
    <xf numFmtId="164" fontId="0" fillId="0" borderId="0" xfId="0" applyNumberFormat="1"/>
    <xf numFmtId="0" fontId="1" fillId="6" borderId="0" xfId="0" applyFont="1" applyFill="1"/>
    <xf numFmtId="2" fontId="1" fillId="0" borderId="0" xfId="0" applyNumberFormat="1" applyFont="1"/>
    <xf numFmtId="2" fontId="2" fillId="0" borderId="0" xfId="0" applyNumberFormat="1" applyFont="1"/>
    <xf numFmtId="0" fontId="2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386D-3D02-4BE7-8158-CA6A5D666D5C}">
  <sheetPr codeName="Arkusz14"/>
  <dimension ref="A4:AP48"/>
  <sheetViews>
    <sheetView workbookViewId="0">
      <selection activeCell="C22" sqref="C22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0.18400000000000002</v>
      </c>
      <c r="C5" s="1">
        <f t="shared" ref="C5:G5" si="0">AVERAGE(J5,Q5,X5,AE5,AL5)</f>
        <v>0.48199999999999993</v>
      </c>
      <c r="D5" s="1">
        <f t="shared" si="0"/>
        <v>0.32800000000000001</v>
      </c>
      <c r="E5" s="1">
        <f t="shared" si="0"/>
        <v>0</v>
      </c>
      <c r="F5" s="1">
        <f t="shared" si="0"/>
        <v>0</v>
      </c>
      <c r="G5" s="1">
        <f t="shared" si="0"/>
        <v>4.0000000000000001E-3</v>
      </c>
      <c r="I5">
        <v>0.54</v>
      </c>
      <c r="J5">
        <v>0.46</v>
      </c>
      <c r="K5">
        <v>0</v>
      </c>
      <c r="L5">
        <v>0</v>
      </c>
      <c r="M5">
        <v>0</v>
      </c>
      <c r="N5">
        <v>0</v>
      </c>
      <c r="P5">
        <v>0.33</v>
      </c>
      <c r="Q5">
        <v>0</v>
      </c>
      <c r="R5">
        <v>0.67</v>
      </c>
      <c r="S5">
        <v>0</v>
      </c>
      <c r="T5">
        <v>0</v>
      </c>
      <c r="U5">
        <v>0</v>
      </c>
      <c r="W5">
        <v>0.03</v>
      </c>
      <c r="X5">
        <v>0.87</v>
      </c>
      <c r="Y5">
        <v>0.09</v>
      </c>
      <c r="Z5">
        <v>0</v>
      </c>
      <c r="AA5">
        <v>0</v>
      </c>
      <c r="AB5">
        <v>0</v>
      </c>
      <c r="AD5">
        <v>0.02</v>
      </c>
      <c r="AE5">
        <v>0.97</v>
      </c>
      <c r="AF5">
        <v>0.01</v>
      </c>
      <c r="AG5">
        <v>0</v>
      </c>
      <c r="AH5">
        <v>0</v>
      </c>
      <c r="AI5">
        <v>0</v>
      </c>
      <c r="AK5">
        <v>0</v>
      </c>
      <c r="AL5">
        <v>0.11</v>
      </c>
      <c r="AM5">
        <v>0.87</v>
      </c>
      <c r="AN5">
        <v>0</v>
      </c>
      <c r="AO5">
        <v>0</v>
      </c>
      <c r="AP5">
        <v>0.02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0.76</v>
      </c>
      <c r="D6" s="1">
        <f t="shared" ref="D6:D10" si="2">AVERAGE(K6,R6,Y6,AF6,AM6)</f>
        <v>0.22800000000000004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1.4000000000000002E-2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0.5</v>
      </c>
      <c r="R6">
        <v>0.5</v>
      </c>
      <c r="S6">
        <v>0</v>
      </c>
      <c r="T6">
        <v>0</v>
      </c>
      <c r="U6">
        <v>0</v>
      </c>
      <c r="W6">
        <v>0</v>
      </c>
      <c r="X6">
        <v>0.87</v>
      </c>
      <c r="Y6">
        <v>0.13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0.43</v>
      </c>
      <c r="AM6">
        <v>0.51</v>
      </c>
      <c r="AN6">
        <v>0</v>
      </c>
      <c r="AO6">
        <v>0</v>
      </c>
      <c r="AP6">
        <v>7.0000000000000007E-2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0.504</v>
      </c>
      <c r="D7" s="11">
        <f>AVERAGE(K7,R7,Y7,AF7,AM7)</f>
        <v>0.45</v>
      </c>
      <c r="E7" s="1">
        <f t="shared" si="3"/>
        <v>0</v>
      </c>
      <c r="F7" s="1">
        <f t="shared" si="4"/>
        <v>0</v>
      </c>
      <c r="G7" s="1">
        <f t="shared" si="5"/>
        <v>4.5999999999999999E-2</v>
      </c>
      <c r="I7">
        <v>0</v>
      </c>
      <c r="J7">
        <v>0.64</v>
      </c>
      <c r="K7">
        <v>0.36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0.69</v>
      </c>
      <c r="Y7">
        <v>0.31</v>
      </c>
      <c r="Z7">
        <v>0</v>
      </c>
      <c r="AA7">
        <v>0</v>
      </c>
      <c r="AB7">
        <v>0</v>
      </c>
      <c r="AD7">
        <v>0</v>
      </c>
      <c r="AE7">
        <v>0.96</v>
      </c>
      <c r="AF7">
        <v>0.04</v>
      </c>
      <c r="AG7">
        <v>0</v>
      </c>
      <c r="AH7">
        <v>0</v>
      </c>
      <c r="AI7">
        <v>0</v>
      </c>
      <c r="AK7">
        <v>0</v>
      </c>
      <c r="AL7">
        <v>0.23</v>
      </c>
      <c r="AM7">
        <v>0.54</v>
      </c>
      <c r="AN7">
        <v>0</v>
      </c>
      <c r="AO7">
        <v>0</v>
      </c>
      <c r="AP7">
        <v>0.23</v>
      </c>
    </row>
    <row r="8" spans="1:42" x14ac:dyDescent="0.25">
      <c r="A8" t="s">
        <v>3</v>
      </c>
      <c r="B8" s="1">
        <f t="shared" si="1"/>
        <v>0.01</v>
      </c>
      <c r="C8" s="1">
        <f t="shared" si="6"/>
        <v>0.56600000000000006</v>
      </c>
      <c r="D8" s="1">
        <f t="shared" si="2"/>
        <v>0.35599999999999998</v>
      </c>
      <c r="E8" s="11">
        <f>AVERAGE(L8,S8,Z8,AG8,AN8)</f>
        <v>5.800000000000001E-2</v>
      </c>
      <c r="F8" s="1">
        <f t="shared" si="4"/>
        <v>0</v>
      </c>
      <c r="G8" s="1">
        <f t="shared" si="5"/>
        <v>8.0000000000000002E-3</v>
      </c>
      <c r="I8">
        <v>0.03</v>
      </c>
      <c r="J8">
        <v>0.66</v>
      </c>
      <c r="K8">
        <v>0.02</v>
      </c>
      <c r="L8">
        <v>0.28000000000000003</v>
      </c>
      <c r="M8">
        <v>0</v>
      </c>
      <c r="N8">
        <v>0</v>
      </c>
      <c r="P8">
        <v>0.02</v>
      </c>
      <c r="Q8">
        <v>0</v>
      </c>
      <c r="R8">
        <v>0.97</v>
      </c>
      <c r="S8">
        <v>0.01</v>
      </c>
      <c r="T8">
        <v>0</v>
      </c>
      <c r="U8">
        <v>0</v>
      </c>
      <c r="W8">
        <v>0</v>
      </c>
      <c r="X8">
        <v>0.94</v>
      </c>
      <c r="Y8">
        <v>0.06</v>
      </c>
      <c r="Z8">
        <v>0</v>
      </c>
      <c r="AA8">
        <v>0</v>
      </c>
      <c r="AB8">
        <v>0</v>
      </c>
      <c r="AD8">
        <v>0</v>
      </c>
      <c r="AE8">
        <v>0.99</v>
      </c>
      <c r="AF8">
        <v>0.01</v>
      </c>
      <c r="AG8">
        <v>0</v>
      </c>
      <c r="AH8">
        <v>0</v>
      </c>
      <c r="AI8">
        <v>0</v>
      </c>
      <c r="AK8">
        <v>0</v>
      </c>
      <c r="AL8">
        <v>0.24</v>
      </c>
      <c r="AM8">
        <v>0.72</v>
      </c>
      <c r="AN8">
        <v>0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1.2E-2</v>
      </c>
      <c r="C9" s="1">
        <f t="shared" si="6"/>
        <v>0.60199999999999998</v>
      </c>
      <c r="D9" s="1">
        <f t="shared" si="2"/>
        <v>0.35799999999999998</v>
      </c>
      <c r="E9" s="1">
        <f t="shared" si="3"/>
        <v>2E-3</v>
      </c>
      <c r="F9" s="11">
        <f>AVERAGE(M9,T9,AA9,AH9,AO9)</f>
        <v>6.0000000000000001E-3</v>
      </c>
      <c r="G9" s="1">
        <f t="shared" si="5"/>
        <v>2.1999999999999999E-2</v>
      </c>
      <c r="I9">
        <v>0.05</v>
      </c>
      <c r="J9">
        <v>0.86</v>
      </c>
      <c r="K9">
        <v>0.04</v>
      </c>
      <c r="L9">
        <v>0.01</v>
      </c>
      <c r="M9">
        <v>0.03</v>
      </c>
      <c r="N9">
        <v>0.01</v>
      </c>
      <c r="P9">
        <v>0.01</v>
      </c>
      <c r="Q9">
        <v>0.05</v>
      </c>
      <c r="R9">
        <v>0.94</v>
      </c>
      <c r="S9">
        <v>0</v>
      </c>
      <c r="T9">
        <v>0</v>
      </c>
      <c r="U9">
        <v>0</v>
      </c>
      <c r="W9">
        <v>0</v>
      </c>
      <c r="X9">
        <v>0.88</v>
      </c>
      <c r="Y9">
        <v>0.12</v>
      </c>
      <c r="Z9">
        <v>0</v>
      </c>
      <c r="AA9">
        <v>0</v>
      </c>
      <c r="AB9">
        <v>0</v>
      </c>
      <c r="AD9">
        <v>0</v>
      </c>
      <c r="AE9">
        <v>0.92</v>
      </c>
      <c r="AF9">
        <v>0.08</v>
      </c>
      <c r="AG9">
        <v>0</v>
      </c>
      <c r="AH9">
        <v>0</v>
      </c>
      <c r="AI9">
        <v>0</v>
      </c>
      <c r="AK9">
        <v>0</v>
      </c>
      <c r="AL9">
        <v>0.3</v>
      </c>
      <c r="AM9">
        <v>0.61</v>
      </c>
      <c r="AN9">
        <v>0</v>
      </c>
      <c r="AO9">
        <v>0</v>
      </c>
      <c r="AP9">
        <v>0.1</v>
      </c>
    </row>
    <row r="10" spans="1:42" x14ac:dyDescent="0.25">
      <c r="A10" t="s">
        <v>5</v>
      </c>
      <c r="B10" s="1">
        <f t="shared" si="1"/>
        <v>0.01</v>
      </c>
      <c r="C10" s="1">
        <f t="shared" si="6"/>
        <v>0.57599999999999996</v>
      </c>
      <c r="D10" s="1">
        <f t="shared" si="2"/>
        <v>0.376</v>
      </c>
      <c r="E10" s="1">
        <f t="shared" si="3"/>
        <v>0</v>
      </c>
      <c r="F10" s="1">
        <f t="shared" si="4"/>
        <v>0</v>
      </c>
      <c r="G10" s="11">
        <f>AVERAGE(N10,U10,AB10,AI10,AP10)</f>
        <v>3.7999999999999999E-2</v>
      </c>
      <c r="I10">
        <v>0.04</v>
      </c>
      <c r="J10">
        <v>0.79</v>
      </c>
      <c r="K10">
        <v>0.05</v>
      </c>
      <c r="L10">
        <v>0</v>
      </c>
      <c r="M10">
        <v>0</v>
      </c>
      <c r="N10">
        <v>0.12</v>
      </c>
      <c r="P10">
        <v>0.01</v>
      </c>
      <c r="Q10">
        <v>0.02</v>
      </c>
      <c r="R10">
        <v>0.95</v>
      </c>
      <c r="S10">
        <v>0</v>
      </c>
      <c r="T10">
        <v>0</v>
      </c>
      <c r="U10">
        <v>0.01</v>
      </c>
      <c r="W10">
        <v>0</v>
      </c>
      <c r="X10">
        <v>0.95</v>
      </c>
      <c r="Y10">
        <v>0.05</v>
      </c>
      <c r="Z10">
        <v>0</v>
      </c>
      <c r="AA10">
        <v>0</v>
      </c>
      <c r="AB10">
        <v>0</v>
      </c>
      <c r="AD10">
        <v>0</v>
      </c>
      <c r="AE10">
        <v>1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0.12</v>
      </c>
      <c r="AM10">
        <v>0.83</v>
      </c>
      <c r="AN10">
        <v>0</v>
      </c>
      <c r="AO10">
        <v>0</v>
      </c>
      <c r="AP10">
        <v>0.06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0.24999999999999994</v>
      </c>
      <c r="C12" s="1"/>
      <c r="D12" s="1"/>
      <c r="E12" s="1"/>
      <c r="F12" s="1"/>
      <c r="G12" s="1"/>
      <c r="I12">
        <v>0.39</v>
      </c>
      <c r="J12">
        <v>2193</v>
      </c>
      <c r="P12">
        <v>0.31</v>
      </c>
      <c r="Q12">
        <v>2188</v>
      </c>
      <c r="W12">
        <v>0.2</v>
      </c>
      <c r="X12">
        <v>2189</v>
      </c>
      <c r="AD12">
        <v>0.18</v>
      </c>
      <c r="AE12">
        <v>2191</v>
      </c>
      <c r="AK12">
        <v>0.17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0.13199999999999998</v>
      </c>
      <c r="C16" s="1">
        <f t="shared" ref="C16:C21" si="7">AVERAGE(J16,Q16,X16,AE16,AL16)</f>
        <v>0.50800000000000001</v>
      </c>
      <c r="D16" s="1">
        <f t="shared" ref="D16:D21" si="8">AVERAGE(K16,R16,Y16,AF16,AM16)</f>
        <v>0.36</v>
      </c>
      <c r="E16" s="1">
        <f t="shared" ref="E16:E21" si="9">AVERAGE(L16,S16,Z16,AG16,AN16)</f>
        <v>0</v>
      </c>
      <c r="F16" s="1">
        <f t="shared" ref="F16:F21" si="10">AVERAGE(M16,T16,AA16,AH16,AO16)</f>
        <v>0</v>
      </c>
      <c r="G16" s="1">
        <f t="shared" ref="G16:G20" si="11">AVERAGE(N16,U16,AB16,AI16,AP16)</f>
        <v>0</v>
      </c>
      <c r="I16">
        <v>0.45</v>
      </c>
      <c r="J16">
        <v>0.55000000000000004</v>
      </c>
      <c r="K16">
        <v>0</v>
      </c>
      <c r="L16">
        <v>0</v>
      </c>
      <c r="M16">
        <v>0</v>
      </c>
      <c r="N16">
        <v>0</v>
      </c>
      <c r="P16">
        <v>0.15</v>
      </c>
      <c r="Q16">
        <v>0</v>
      </c>
      <c r="R16">
        <v>0.85</v>
      </c>
      <c r="S16">
        <v>0</v>
      </c>
      <c r="T16">
        <v>0</v>
      </c>
      <c r="U16">
        <v>0</v>
      </c>
      <c r="W16">
        <v>0.06</v>
      </c>
      <c r="X16">
        <v>0.88</v>
      </c>
      <c r="Y16">
        <v>0.06</v>
      </c>
      <c r="Z16">
        <v>0</v>
      </c>
      <c r="AA16">
        <v>0</v>
      </c>
      <c r="AB16">
        <v>0</v>
      </c>
      <c r="AD16">
        <v>0</v>
      </c>
      <c r="AE16">
        <v>1</v>
      </c>
      <c r="AF16">
        <v>0</v>
      </c>
      <c r="AG16">
        <v>0</v>
      </c>
      <c r="AH16">
        <v>0</v>
      </c>
      <c r="AI16">
        <v>0</v>
      </c>
      <c r="AK16">
        <v>0</v>
      </c>
      <c r="AL16">
        <v>0.11</v>
      </c>
      <c r="AM16">
        <v>0.89</v>
      </c>
      <c r="AN16">
        <v>0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21" si="12">AVERAGE(I17,P17,W17,AD17,AK17)</f>
        <v>0</v>
      </c>
      <c r="C17" s="11">
        <f>AVERAGE(J17,Q17,X17,AE17,AL17)</f>
        <v>0.71599999999999997</v>
      </c>
      <c r="D17" s="1">
        <f t="shared" si="8"/>
        <v>0.28399999999999997</v>
      </c>
      <c r="E17" s="1">
        <f t="shared" si="9"/>
        <v>0</v>
      </c>
      <c r="F17" s="1">
        <f t="shared" si="10"/>
        <v>0</v>
      </c>
      <c r="G17" s="1">
        <f t="shared" si="11"/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P17">
        <v>0</v>
      </c>
      <c r="Q17">
        <v>0.25</v>
      </c>
      <c r="R17">
        <v>0.75</v>
      </c>
      <c r="S17">
        <v>0</v>
      </c>
      <c r="T17">
        <v>0</v>
      </c>
      <c r="U17">
        <v>0</v>
      </c>
      <c r="W17">
        <v>0</v>
      </c>
      <c r="X17">
        <v>0.93</v>
      </c>
      <c r="Y17">
        <v>7.0000000000000007E-2</v>
      </c>
      <c r="Z17">
        <v>0</v>
      </c>
      <c r="AA17">
        <v>0</v>
      </c>
      <c r="AB17">
        <v>0</v>
      </c>
      <c r="AD17">
        <v>0</v>
      </c>
      <c r="AE17">
        <v>1</v>
      </c>
      <c r="AF17">
        <v>0</v>
      </c>
      <c r="AG17">
        <v>0</v>
      </c>
      <c r="AH17">
        <v>0</v>
      </c>
      <c r="AI17">
        <v>0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0</v>
      </c>
      <c r="C18" s="1">
        <f t="shared" si="7"/>
        <v>0.51</v>
      </c>
      <c r="D18" s="11">
        <f>AVERAGE(K18,R18,Y18,AF18,AM18)</f>
        <v>0.47400000000000003</v>
      </c>
      <c r="E18" s="1">
        <f t="shared" si="9"/>
        <v>0</v>
      </c>
      <c r="F18" s="1">
        <f t="shared" si="10"/>
        <v>0</v>
      </c>
      <c r="G18" s="1">
        <f t="shared" si="11"/>
        <v>1.7999999999999999E-2</v>
      </c>
      <c r="I18">
        <v>0</v>
      </c>
      <c r="J18">
        <v>0.59</v>
      </c>
      <c r="K18">
        <v>0.41</v>
      </c>
      <c r="L18">
        <v>0</v>
      </c>
      <c r="M18">
        <v>0</v>
      </c>
      <c r="N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W18">
        <v>0</v>
      </c>
      <c r="X18">
        <v>0.7</v>
      </c>
      <c r="Y18">
        <v>0.3</v>
      </c>
      <c r="Z18">
        <v>0</v>
      </c>
      <c r="AA18">
        <v>0</v>
      </c>
      <c r="AB18">
        <v>0</v>
      </c>
      <c r="AD18">
        <v>0</v>
      </c>
      <c r="AE18">
        <v>0.91</v>
      </c>
      <c r="AF18">
        <v>0.09</v>
      </c>
      <c r="AG18">
        <v>0</v>
      </c>
      <c r="AH18">
        <v>0</v>
      </c>
      <c r="AI18">
        <v>0</v>
      </c>
      <c r="AK18">
        <v>0</v>
      </c>
      <c r="AL18">
        <v>0.35</v>
      </c>
      <c r="AM18">
        <v>0.56999999999999995</v>
      </c>
      <c r="AN18">
        <v>0</v>
      </c>
      <c r="AO18">
        <v>0</v>
      </c>
      <c r="AP18">
        <v>0.09</v>
      </c>
    </row>
    <row r="19" spans="1:42" x14ac:dyDescent="0.25">
      <c r="A19" t="s">
        <v>3</v>
      </c>
      <c r="B19" s="1">
        <f t="shared" si="12"/>
        <v>0.01</v>
      </c>
      <c r="C19" s="1">
        <f t="shared" si="7"/>
        <v>0.57999999999999996</v>
      </c>
      <c r="D19" s="1">
        <f t="shared" si="8"/>
        <v>0.34199999999999997</v>
      </c>
      <c r="E19" s="11">
        <f>AVERAGE(L19,S19,Z19,AG19,AN19)</f>
        <v>5.4000000000000006E-2</v>
      </c>
      <c r="F19" s="1">
        <f t="shared" si="10"/>
        <v>0</v>
      </c>
      <c r="G19" s="1">
        <f t="shared" si="11"/>
        <v>1.2E-2</v>
      </c>
      <c r="I19">
        <v>0.04</v>
      </c>
      <c r="J19">
        <v>0.67</v>
      </c>
      <c r="K19">
        <v>0.03</v>
      </c>
      <c r="L19">
        <v>0.26</v>
      </c>
      <c r="M19">
        <v>0</v>
      </c>
      <c r="N19">
        <v>0</v>
      </c>
      <c r="P19">
        <v>0.01</v>
      </c>
      <c r="Q19">
        <v>0</v>
      </c>
      <c r="R19">
        <v>0.98</v>
      </c>
      <c r="S19">
        <v>0.01</v>
      </c>
      <c r="T19">
        <v>0</v>
      </c>
      <c r="U19">
        <v>0</v>
      </c>
      <c r="W19">
        <v>0</v>
      </c>
      <c r="X19">
        <v>0.97</v>
      </c>
      <c r="Y19">
        <v>0.03</v>
      </c>
      <c r="Z19">
        <v>0</v>
      </c>
      <c r="AA19">
        <v>0</v>
      </c>
      <c r="AB19">
        <v>0</v>
      </c>
      <c r="AD19">
        <v>0</v>
      </c>
      <c r="AE19">
        <v>0.99</v>
      </c>
      <c r="AF19">
        <v>0</v>
      </c>
      <c r="AG19">
        <v>0</v>
      </c>
      <c r="AH19">
        <v>0</v>
      </c>
      <c r="AI19">
        <v>0</v>
      </c>
      <c r="AK19">
        <v>0</v>
      </c>
      <c r="AL19">
        <v>0.27</v>
      </c>
      <c r="AM19">
        <v>0.67</v>
      </c>
      <c r="AN19">
        <v>0</v>
      </c>
      <c r="AO19">
        <v>0</v>
      </c>
      <c r="AP19">
        <v>0.06</v>
      </c>
    </row>
    <row r="20" spans="1:42" x14ac:dyDescent="0.25">
      <c r="A20" t="s">
        <v>4</v>
      </c>
      <c r="B20" s="1">
        <f t="shared" si="12"/>
        <v>1.4000000000000002E-2</v>
      </c>
      <c r="C20" s="1">
        <f t="shared" si="7"/>
        <v>0.59399999999999997</v>
      </c>
      <c r="D20" s="1">
        <f t="shared" si="8"/>
        <v>0.35799999999999998</v>
      </c>
      <c r="E20" s="1">
        <f t="shared" si="9"/>
        <v>4.0000000000000001E-3</v>
      </c>
      <c r="F20" s="11">
        <f>AVERAGE(M20,T20,AA20,AH20,AO20)</f>
        <v>6.0000000000000001E-3</v>
      </c>
      <c r="G20" s="1">
        <f t="shared" si="11"/>
        <v>2.4E-2</v>
      </c>
      <c r="I20">
        <v>0.05</v>
      </c>
      <c r="J20">
        <v>0.85</v>
      </c>
      <c r="K20">
        <v>0.03</v>
      </c>
      <c r="L20">
        <v>0.02</v>
      </c>
      <c r="M20">
        <v>0.03</v>
      </c>
      <c r="N20">
        <v>0.01</v>
      </c>
      <c r="P20">
        <v>0.02</v>
      </c>
      <c r="Q20">
        <v>0.04</v>
      </c>
      <c r="R20">
        <v>0.94</v>
      </c>
      <c r="S20">
        <v>0</v>
      </c>
      <c r="T20">
        <v>0</v>
      </c>
      <c r="U20">
        <v>0</v>
      </c>
      <c r="W20">
        <v>0</v>
      </c>
      <c r="X20">
        <v>0.89</v>
      </c>
      <c r="Y20">
        <v>0.11</v>
      </c>
      <c r="Z20">
        <v>0</v>
      </c>
      <c r="AA20">
        <v>0</v>
      </c>
      <c r="AB20">
        <v>0</v>
      </c>
      <c r="AD20">
        <v>0</v>
      </c>
      <c r="AE20">
        <v>0.94</v>
      </c>
      <c r="AF20">
        <v>0.06</v>
      </c>
      <c r="AG20">
        <v>0</v>
      </c>
      <c r="AH20">
        <v>0</v>
      </c>
      <c r="AI20">
        <v>0</v>
      </c>
      <c r="AK20">
        <v>0</v>
      </c>
      <c r="AL20">
        <v>0.25</v>
      </c>
      <c r="AM20">
        <v>0.65</v>
      </c>
      <c r="AN20">
        <v>0</v>
      </c>
      <c r="AO20">
        <v>0</v>
      </c>
      <c r="AP20">
        <v>0.11</v>
      </c>
    </row>
    <row r="21" spans="1:42" x14ac:dyDescent="0.25">
      <c r="A21" t="s">
        <v>5</v>
      </c>
      <c r="B21" s="1">
        <f t="shared" si="12"/>
        <v>3.5999999999999997E-2</v>
      </c>
      <c r="C21" s="1">
        <f t="shared" si="7"/>
        <v>0.53800000000000003</v>
      </c>
      <c r="D21" s="1">
        <f t="shared" si="8"/>
        <v>0.38400000000000001</v>
      </c>
      <c r="E21" s="1">
        <f t="shared" si="9"/>
        <v>0</v>
      </c>
      <c r="F21" s="1">
        <f t="shared" si="10"/>
        <v>0</v>
      </c>
      <c r="G21" s="11">
        <f>AVERAGE(N21,U21,AB21,AI21,AP21)</f>
        <v>4.2000000000000003E-2</v>
      </c>
      <c r="I21">
        <v>0.18</v>
      </c>
      <c r="J21">
        <v>0.62</v>
      </c>
      <c r="K21">
        <v>7.0000000000000007E-2</v>
      </c>
      <c r="L21">
        <v>0</v>
      </c>
      <c r="M21">
        <v>0</v>
      </c>
      <c r="N21">
        <v>0.13</v>
      </c>
      <c r="P21">
        <v>0</v>
      </c>
      <c r="Q21">
        <v>0.03</v>
      </c>
      <c r="R21">
        <v>0.97</v>
      </c>
      <c r="S21">
        <v>0</v>
      </c>
      <c r="T21">
        <v>0</v>
      </c>
      <c r="U21">
        <v>0</v>
      </c>
      <c r="W21">
        <v>0</v>
      </c>
      <c r="X21">
        <v>0.97</v>
      </c>
      <c r="Y21">
        <v>0.03</v>
      </c>
      <c r="Z21">
        <v>0</v>
      </c>
      <c r="AA21">
        <v>0</v>
      </c>
      <c r="AB21">
        <v>0</v>
      </c>
      <c r="AD21">
        <v>0</v>
      </c>
      <c r="AE21">
        <v>1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7.0000000000000007E-2</v>
      </c>
      <c r="AM21">
        <v>0.85</v>
      </c>
      <c r="AN21">
        <v>0</v>
      </c>
      <c r="AO21">
        <v>0</v>
      </c>
      <c r="AP21">
        <v>0.08</v>
      </c>
    </row>
    <row r="22" spans="1:42" x14ac:dyDescent="0.25">
      <c r="B22" s="1"/>
      <c r="C22" s="1">
        <f>AVERAGE(C18:C21,C16)</f>
        <v>0.54599999999999993</v>
      </c>
      <c r="D22" s="1"/>
      <c r="E22" s="1"/>
      <c r="F22" s="1"/>
      <c r="G22" s="1"/>
    </row>
    <row r="23" spans="1:42" x14ac:dyDescent="0.25">
      <c r="B23" s="11">
        <f>AVERAGE(I23,P23,W23,AD23,AK23)</f>
        <v>0.23599999999999999</v>
      </c>
      <c r="C23" s="1"/>
      <c r="D23" s="1"/>
      <c r="E23" s="1"/>
      <c r="F23" s="1"/>
      <c r="G23" s="1"/>
      <c r="I23">
        <v>0.38</v>
      </c>
      <c r="J23">
        <v>545</v>
      </c>
      <c r="P23">
        <v>0.23</v>
      </c>
      <c r="Q23">
        <v>550</v>
      </c>
      <c r="W23">
        <v>0.22</v>
      </c>
      <c r="X23">
        <v>549</v>
      </c>
      <c r="AD23">
        <v>0.18</v>
      </c>
      <c r="AE23">
        <v>547</v>
      </c>
      <c r="AK23">
        <v>0.17</v>
      </c>
      <c r="AL23">
        <v>547</v>
      </c>
    </row>
    <row r="26" spans="1:42" x14ac:dyDescent="0.25">
      <c r="B26" t="s">
        <v>19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 t="shared" ref="B30:G35" si="13">AVERAGE(I30,P30,W30,AD30,AK30)</f>
        <v>0.184</v>
      </c>
      <c r="C30" s="1">
        <f t="shared" si="13"/>
        <v>0.52200000000000002</v>
      </c>
      <c r="D30" s="1">
        <f t="shared" si="13"/>
        <v>0.29399999999999998</v>
      </c>
      <c r="E30" s="1">
        <f t="shared" si="13"/>
        <v>0</v>
      </c>
      <c r="F30" s="1">
        <f t="shared" si="13"/>
        <v>0</v>
      </c>
      <c r="G30" s="1">
        <f t="shared" si="13"/>
        <v>0</v>
      </c>
      <c r="I30">
        <v>0.16</v>
      </c>
      <c r="J30">
        <v>0.37</v>
      </c>
      <c r="K30">
        <v>0.47</v>
      </c>
      <c r="L30">
        <v>0</v>
      </c>
      <c r="M30">
        <v>0</v>
      </c>
      <c r="N30">
        <v>0</v>
      </c>
      <c r="P30">
        <v>0.18</v>
      </c>
      <c r="Q30">
        <v>0.6</v>
      </c>
      <c r="R30">
        <v>0.22</v>
      </c>
      <c r="S30">
        <v>0</v>
      </c>
      <c r="T30">
        <v>0</v>
      </c>
      <c r="U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0</v>
      </c>
      <c r="AD30">
        <v>0.48</v>
      </c>
      <c r="AE30">
        <v>0.52</v>
      </c>
      <c r="AF30">
        <v>0</v>
      </c>
      <c r="AG30">
        <v>0</v>
      </c>
      <c r="AH30">
        <v>0</v>
      </c>
      <c r="AI30">
        <v>0</v>
      </c>
      <c r="AK30">
        <v>0.1</v>
      </c>
      <c r="AL30">
        <v>0.12</v>
      </c>
      <c r="AM30">
        <v>0.78</v>
      </c>
      <c r="AN30">
        <v>0</v>
      </c>
      <c r="AO30">
        <v>0</v>
      </c>
      <c r="AP30">
        <v>0</v>
      </c>
    </row>
    <row r="31" spans="1:42" x14ac:dyDescent="0.25">
      <c r="A31" t="s">
        <v>2</v>
      </c>
      <c r="B31" s="1">
        <f t="shared" si="13"/>
        <v>0</v>
      </c>
      <c r="C31" s="5">
        <f t="shared" si="13"/>
        <v>0.66799999999999993</v>
      </c>
      <c r="D31" s="1">
        <f t="shared" si="13"/>
        <v>0.33200000000000002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0.46</v>
      </c>
      <c r="K31">
        <v>0.54</v>
      </c>
      <c r="L31">
        <v>0</v>
      </c>
      <c r="M31">
        <v>0</v>
      </c>
      <c r="N31">
        <v>0</v>
      </c>
      <c r="P31">
        <v>0</v>
      </c>
      <c r="Q31">
        <v>0.46</v>
      </c>
      <c r="R31">
        <v>0.54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0.42</v>
      </c>
      <c r="AM31">
        <v>0.57999999999999996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 t="shared" si="13"/>
        <v>0</v>
      </c>
      <c r="C32" s="1">
        <f t="shared" si="13"/>
        <v>0.49800000000000005</v>
      </c>
      <c r="D32" s="5">
        <f t="shared" si="13"/>
        <v>0.502</v>
      </c>
      <c r="E32" s="1">
        <f t="shared" si="13"/>
        <v>0</v>
      </c>
      <c r="F32" s="1">
        <f t="shared" si="13"/>
        <v>0</v>
      </c>
      <c r="G32" s="1">
        <f t="shared" si="13"/>
        <v>0</v>
      </c>
      <c r="I32">
        <v>0</v>
      </c>
      <c r="J32">
        <v>0.36</v>
      </c>
      <c r="K32">
        <v>0.64</v>
      </c>
      <c r="L32">
        <v>0</v>
      </c>
      <c r="M32">
        <v>0</v>
      </c>
      <c r="N32">
        <v>0</v>
      </c>
      <c r="P32">
        <v>0</v>
      </c>
      <c r="Q32">
        <v>0.2</v>
      </c>
      <c r="R32">
        <v>0.8</v>
      </c>
      <c r="S32">
        <v>0</v>
      </c>
      <c r="T32">
        <v>0</v>
      </c>
      <c r="U32">
        <v>0</v>
      </c>
      <c r="W32">
        <v>0</v>
      </c>
      <c r="X32">
        <v>1</v>
      </c>
      <c r="Y32">
        <v>0</v>
      </c>
      <c r="Z32">
        <v>0</v>
      </c>
      <c r="AA32">
        <v>0</v>
      </c>
      <c r="AB32">
        <v>0</v>
      </c>
      <c r="AD32">
        <v>0</v>
      </c>
      <c r="AE32">
        <v>0.67</v>
      </c>
      <c r="AF32">
        <v>0.33</v>
      </c>
      <c r="AG32">
        <v>0</v>
      </c>
      <c r="AH32">
        <v>0</v>
      </c>
      <c r="AI32">
        <v>0</v>
      </c>
      <c r="AK32">
        <v>0</v>
      </c>
      <c r="AL32">
        <v>0.26</v>
      </c>
      <c r="AM32">
        <v>0.74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 t="shared" si="13"/>
        <v>4.0000000000000001E-3</v>
      </c>
      <c r="C33" s="1">
        <f t="shared" si="13"/>
        <v>0.73000000000000009</v>
      </c>
      <c r="D33" s="1">
        <f t="shared" si="13"/>
        <v>0.25600000000000001</v>
      </c>
      <c r="E33" s="5">
        <f t="shared" si="13"/>
        <v>1.4000000000000002E-2</v>
      </c>
      <c r="F33" s="1">
        <f t="shared" si="13"/>
        <v>0</v>
      </c>
      <c r="G33" s="1">
        <f t="shared" si="13"/>
        <v>0</v>
      </c>
      <c r="I33">
        <v>0</v>
      </c>
      <c r="J33">
        <v>0.69</v>
      </c>
      <c r="K33">
        <v>0.31</v>
      </c>
      <c r="L33">
        <v>0.01</v>
      </c>
      <c r="M33">
        <v>0</v>
      </c>
      <c r="N33">
        <v>0</v>
      </c>
      <c r="P33">
        <v>0</v>
      </c>
      <c r="Q33">
        <v>0.8</v>
      </c>
      <c r="R33">
        <v>0.2</v>
      </c>
      <c r="S33">
        <v>0</v>
      </c>
      <c r="T33">
        <v>0</v>
      </c>
      <c r="U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0</v>
      </c>
      <c r="AD33">
        <v>0.02</v>
      </c>
      <c r="AE33">
        <v>0.92</v>
      </c>
      <c r="AF33">
        <v>0.01</v>
      </c>
      <c r="AG33">
        <v>0.05</v>
      </c>
      <c r="AH33">
        <v>0</v>
      </c>
      <c r="AI33">
        <v>0</v>
      </c>
      <c r="AK33">
        <v>0</v>
      </c>
      <c r="AL33">
        <v>0.24</v>
      </c>
      <c r="AM33">
        <v>0.76</v>
      </c>
      <c r="AN33">
        <v>0.01</v>
      </c>
      <c r="AO33">
        <v>0</v>
      </c>
      <c r="AP33">
        <v>0</v>
      </c>
    </row>
    <row r="34" spans="1:42" x14ac:dyDescent="0.25">
      <c r="A34" t="s">
        <v>4</v>
      </c>
      <c r="B34" s="1">
        <f t="shared" si="13"/>
        <v>6.0000000000000001E-3</v>
      </c>
      <c r="C34" s="1">
        <f t="shared" si="13"/>
        <v>0.64200000000000002</v>
      </c>
      <c r="D34" s="1">
        <f t="shared" si="13"/>
        <v>0.34799999999999998</v>
      </c>
      <c r="E34" s="1">
        <f t="shared" si="13"/>
        <v>0</v>
      </c>
      <c r="F34" s="5">
        <f t="shared" si="13"/>
        <v>0</v>
      </c>
      <c r="G34" s="1">
        <f t="shared" si="13"/>
        <v>0</v>
      </c>
      <c r="I34">
        <v>0</v>
      </c>
      <c r="J34">
        <v>0.47</v>
      </c>
      <c r="K34">
        <v>0.53</v>
      </c>
      <c r="L34">
        <v>0</v>
      </c>
      <c r="M34">
        <v>0</v>
      </c>
      <c r="N34">
        <v>0</v>
      </c>
      <c r="P34">
        <v>0</v>
      </c>
      <c r="Q34">
        <v>0.53</v>
      </c>
      <c r="R34">
        <v>0.47</v>
      </c>
      <c r="S34">
        <v>0</v>
      </c>
      <c r="T34">
        <v>0</v>
      </c>
      <c r="U34">
        <v>0</v>
      </c>
      <c r="W34">
        <v>0</v>
      </c>
      <c r="X34">
        <v>1</v>
      </c>
      <c r="Y34">
        <v>0</v>
      </c>
      <c r="Z34">
        <v>0</v>
      </c>
      <c r="AA34">
        <v>0</v>
      </c>
      <c r="AB34">
        <v>0</v>
      </c>
      <c r="AD34">
        <v>0.03</v>
      </c>
      <c r="AE34">
        <v>0.96</v>
      </c>
      <c r="AF34">
        <v>0</v>
      </c>
      <c r="AG34">
        <v>0</v>
      </c>
      <c r="AH34">
        <v>0</v>
      </c>
      <c r="AI34">
        <v>0</v>
      </c>
      <c r="AK34">
        <v>0</v>
      </c>
      <c r="AL34">
        <v>0.25</v>
      </c>
      <c r="AM34">
        <v>0.74</v>
      </c>
      <c r="AN34">
        <v>0</v>
      </c>
      <c r="AO34">
        <v>0</v>
      </c>
      <c r="AP34">
        <v>0</v>
      </c>
    </row>
    <row r="35" spans="1:42" x14ac:dyDescent="0.25">
      <c r="A35" t="s">
        <v>5</v>
      </c>
      <c r="B35" s="1">
        <f t="shared" si="13"/>
        <v>0.01</v>
      </c>
      <c r="C35" s="1">
        <f t="shared" si="13"/>
        <v>0.64399999999999991</v>
      </c>
      <c r="D35" s="1">
        <f t="shared" si="13"/>
        <v>0.32999999999999996</v>
      </c>
      <c r="E35" s="1">
        <f t="shared" si="13"/>
        <v>0</v>
      </c>
      <c r="F35" s="1">
        <f t="shared" si="13"/>
        <v>0</v>
      </c>
      <c r="G35" s="5">
        <f t="shared" si="13"/>
        <v>1.4000000000000002E-2</v>
      </c>
      <c r="I35">
        <v>0</v>
      </c>
      <c r="J35">
        <v>0.51</v>
      </c>
      <c r="K35">
        <v>0.48</v>
      </c>
      <c r="L35">
        <v>0</v>
      </c>
      <c r="M35">
        <v>0</v>
      </c>
      <c r="N35">
        <v>0</v>
      </c>
      <c r="P35">
        <v>0</v>
      </c>
      <c r="Q35">
        <v>0.7</v>
      </c>
      <c r="R35">
        <v>0.3</v>
      </c>
      <c r="S35">
        <v>0</v>
      </c>
      <c r="T35">
        <v>0</v>
      </c>
      <c r="U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0</v>
      </c>
      <c r="AD35">
        <v>0.05</v>
      </c>
      <c r="AE35">
        <v>0.86</v>
      </c>
      <c r="AF35">
        <v>0.02</v>
      </c>
      <c r="AG35">
        <v>0</v>
      </c>
      <c r="AH35">
        <v>0</v>
      </c>
      <c r="AI35">
        <v>7.0000000000000007E-2</v>
      </c>
      <c r="AK35">
        <v>0</v>
      </c>
      <c r="AL35">
        <v>0.15</v>
      </c>
      <c r="AM35">
        <v>0.85</v>
      </c>
      <c r="AN35">
        <v>0</v>
      </c>
      <c r="AO35">
        <v>0</v>
      </c>
      <c r="AP35">
        <v>0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0.22999999999999998</v>
      </c>
      <c r="C37" s="1"/>
      <c r="D37" s="1"/>
      <c r="E37" s="1"/>
      <c r="F37" s="1"/>
      <c r="G37" s="1"/>
      <c r="I37">
        <v>0.21</v>
      </c>
      <c r="P37">
        <v>0.24</v>
      </c>
      <c r="W37">
        <v>0.17</v>
      </c>
      <c r="AD37">
        <v>0.32</v>
      </c>
      <c r="AK37">
        <v>0.21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 t="shared" ref="B41:G46" si="14">AVERAGE(I41,P41,W41,AD41,AK41)</f>
        <v>0.14399999999999999</v>
      </c>
      <c r="C41" s="1">
        <f t="shared" si="14"/>
        <v>0.52800000000000002</v>
      </c>
      <c r="D41" s="1">
        <f t="shared" si="14"/>
        <v>0.32999999999999996</v>
      </c>
      <c r="E41" s="1">
        <f t="shared" si="14"/>
        <v>0</v>
      </c>
      <c r="F41" s="1">
        <f t="shared" si="14"/>
        <v>0</v>
      </c>
      <c r="G41" s="1">
        <f t="shared" si="14"/>
        <v>0</v>
      </c>
      <c r="I41">
        <v>0.13</v>
      </c>
      <c r="J41">
        <v>0.32</v>
      </c>
      <c r="K41">
        <v>0.56000000000000005</v>
      </c>
      <c r="L41">
        <v>0</v>
      </c>
      <c r="M41">
        <v>0</v>
      </c>
      <c r="N41">
        <v>0</v>
      </c>
      <c r="P41">
        <v>0.09</v>
      </c>
      <c r="Q41">
        <v>0.66</v>
      </c>
      <c r="R41">
        <v>0.25</v>
      </c>
      <c r="S41">
        <v>0</v>
      </c>
      <c r="T41">
        <v>0</v>
      </c>
      <c r="U41">
        <v>0</v>
      </c>
      <c r="W41">
        <v>0</v>
      </c>
      <c r="X41">
        <v>1</v>
      </c>
      <c r="Y41">
        <v>0</v>
      </c>
      <c r="Z41">
        <v>0</v>
      </c>
      <c r="AA41">
        <v>0</v>
      </c>
      <c r="AB41">
        <v>0</v>
      </c>
      <c r="AD41">
        <v>0.44</v>
      </c>
      <c r="AE41">
        <v>0.56000000000000005</v>
      </c>
      <c r="AF41">
        <v>0</v>
      </c>
      <c r="AG41">
        <v>0</v>
      </c>
      <c r="AH41">
        <v>0</v>
      </c>
      <c r="AI41">
        <v>0</v>
      </c>
      <c r="AK41">
        <v>0.06</v>
      </c>
      <c r="AL41">
        <v>0.1</v>
      </c>
      <c r="AM41">
        <v>0.84</v>
      </c>
      <c r="AN41">
        <v>0</v>
      </c>
      <c r="AO41">
        <v>0</v>
      </c>
      <c r="AP41">
        <v>0</v>
      </c>
    </row>
    <row r="42" spans="1:42" x14ac:dyDescent="0.25">
      <c r="A42" t="s">
        <v>2</v>
      </c>
      <c r="B42" s="1">
        <f t="shared" si="14"/>
        <v>0</v>
      </c>
      <c r="C42" s="5">
        <f t="shared" si="14"/>
        <v>0.70200000000000007</v>
      </c>
      <c r="D42" s="1">
        <f t="shared" si="14"/>
        <v>0.29799999999999999</v>
      </c>
      <c r="E42" s="1">
        <f t="shared" si="14"/>
        <v>0</v>
      </c>
      <c r="F42" s="1">
        <f t="shared" si="14"/>
        <v>0</v>
      </c>
      <c r="G42" s="1">
        <f t="shared" si="14"/>
        <v>0</v>
      </c>
      <c r="I42">
        <v>0</v>
      </c>
      <c r="J42">
        <v>0.59</v>
      </c>
      <c r="K42">
        <v>0.41</v>
      </c>
      <c r="L42">
        <v>0</v>
      </c>
      <c r="M42">
        <v>0</v>
      </c>
      <c r="N42">
        <v>0</v>
      </c>
      <c r="P42">
        <v>0</v>
      </c>
      <c r="Q42">
        <v>0.4</v>
      </c>
      <c r="R42">
        <v>0.6</v>
      </c>
      <c r="S42">
        <v>0</v>
      </c>
      <c r="T42">
        <v>0</v>
      </c>
      <c r="U42">
        <v>0</v>
      </c>
      <c r="W42">
        <v>0</v>
      </c>
      <c r="X42">
        <v>1</v>
      </c>
      <c r="Y42">
        <v>0</v>
      </c>
      <c r="Z42">
        <v>0</v>
      </c>
      <c r="AA42">
        <v>0</v>
      </c>
      <c r="AB42">
        <v>0</v>
      </c>
      <c r="AD42">
        <v>0</v>
      </c>
      <c r="AE42">
        <v>1</v>
      </c>
      <c r="AF42">
        <v>0</v>
      </c>
      <c r="AG42">
        <v>0</v>
      </c>
      <c r="AH42">
        <v>0</v>
      </c>
      <c r="AI42">
        <v>0</v>
      </c>
      <c r="AK42">
        <v>0</v>
      </c>
      <c r="AL42">
        <v>0.52</v>
      </c>
      <c r="AM42">
        <v>0.48</v>
      </c>
      <c r="AN42">
        <v>0</v>
      </c>
      <c r="AO42">
        <v>0</v>
      </c>
      <c r="AP42">
        <v>0</v>
      </c>
    </row>
    <row r="43" spans="1:42" x14ac:dyDescent="0.25">
      <c r="A43" t="s">
        <v>1</v>
      </c>
      <c r="B43" s="1">
        <f t="shared" si="14"/>
        <v>0</v>
      </c>
      <c r="C43" s="1">
        <f t="shared" si="14"/>
        <v>0.51800000000000002</v>
      </c>
      <c r="D43" s="5">
        <f t="shared" si="14"/>
        <v>0.48200000000000004</v>
      </c>
      <c r="E43" s="1">
        <f t="shared" si="14"/>
        <v>0</v>
      </c>
      <c r="F43" s="1">
        <f t="shared" si="14"/>
        <v>0</v>
      </c>
      <c r="G43" s="1">
        <f t="shared" si="14"/>
        <v>0</v>
      </c>
      <c r="I43">
        <v>0</v>
      </c>
      <c r="J43">
        <v>0.23</v>
      </c>
      <c r="K43">
        <v>0.77</v>
      </c>
      <c r="L43">
        <v>0</v>
      </c>
      <c r="M43">
        <v>0</v>
      </c>
      <c r="N43">
        <v>0</v>
      </c>
      <c r="P43">
        <v>0</v>
      </c>
      <c r="Q43">
        <v>0.31</v>
      </c>
      <c r="R43">
        <v>0.69</v>
      </c>
      <c r="S43">
        <v>0</v>
      </c>
      <c r="T43">
        <v>0</v>
      </c>
      <c r="U43">
        <v>0</v>
      </c>
      <c r="W43">
        <v>0</v>
      </c>
      <c r="X43">
        <v>1</v>
      </c>
      <c r="Y43">
        <v>0</v>
      </c>
      <c r="Z43">
        <v>0</v>
      </c>
      <c r="AA43">
        <v>0</v>
      </c>
      <c r="AB43">
        <v>0</v>
      </c>
      <c r="AD43">
        <v>0</v>
      </c>
      <c r="AE43">
        <v>0.83</v>
      </c>
      <c r="AF43">
        <v>0.17</v>
      </c>
      <c r="AG43">
        <v>0</v>
      </c>
      <c r="AH43">
        <v>0</v>
      </c>
      <c r="AI43">
        <v>0</v>
      </c>
      <c r="AK43">
        <v>0</v>
      </c>
      <c r="AL43">
        <v>0.22</v>
      </c>
      <c r="AM43">
        <v>0.78</v>
      </c>
      <c r="AN43">
        <v>0</v>
      </c>
      <c r="AO43">
        <v>0</v>
      </c>
      <c r="AP43">
        <v>0</v>
      </c>
    </row>
    <row r="44" spans="1:42" x14ac:dyDescent="0.25">
      <c r="A44" t="s">
        <v>3</v>
      </c>
      <c r="B44" s="1">
        <f t="shared" si="14"/>
        <v>4.0000000000000001E-3</v>
      </c>
      <c r="C44" s="1">
        <f t="shared" si="14"/>
        <v>0.72600000000000009</v>
      </c>
      <c r="D44" s="1">
        <f t="shared" si="14"/>
        <v>0.25600000000000001</v>
      </c>
      <c r="E44" s="5">
        <f t="shared" si="14"/>
        <v>0.01</v>
      </c>
      <c r="F44" s="1">
        <f t="shared" si="14"/>
        <v>0</v>
      </c>
      <c r="G44" s="1">
        <f t="shared" si="14"/>
        <v>0</v>
      </c>
      <c r="I44">
        <v>0</v>
      </c>
      <c r="J44">
        <v>0.67</v>
      </c>
      <c r="K44">
        <v>0.31</v>
      </c>
      <c r="L44">
        <v>0.01</v>
      </c>
      <c r="M44">
        <v>0</v>
      </c>
      <c r="N44">
        <v>0</v>
      </c>
      <c r="P44">
        <v>0</v>
      </c>
      <c r="Q44">
        <v>0.78</v>
      </c>
      <c r="R44">
        <v>0.21</v>
      </c>
      <c r="S44">
        <v>0</v>
      </c>
      <c r="T44">
        <v>0</v>
      </c>
      <c r="U44">
        <v>0</v>
      </c>
      <c r="W44">
        <v>0</v>
      </c>
      <c r="X44">
        <v>1</v>
      </c>
      <c r="Y44">
        <v>0</v>
      </c>
      <c r="Z44">
        <v>0</v>
      </c>
      <c r="AA44">
        <v>0</v>
      </c>
      <c r="AB44">
        <v>0</v>
      </c>
      <c r="AD44">
        <v>0.02</v>
      </c>
      <c r="AE44">
        <v>0.93</v>
      </c>
      <c r="AF44">
        <v>0.01</v>
      </c>
      <c r="AG44">
        <v>0.04</v>
      </c>
      <c r="AH44">
        <v>0</v>
      </c>
      <c r="AI44">
        <v>0</v>
      </c>
      <c r="AK44">
        <v>0</v>
      </c>
      <c r="AL44">
        <v>0.25</v>
      </c>
      <c r="AM44">
        <v>0.75</v>
      </c>
      <c r="AN44">
        <v>0</v>
      </c>
      <c r="AO44">
        <v>0</v>
      </c>
      <c r="AP44">
        <v>0</v>
      </c>
    </row>
    <row r="45" spans="1:42" x14ac:dyDescent="0.25">
      <c r="A45" t="s">
        <v>4</v>
      </c>
      <c r="B45" s="1">
        <f t="shared" si="14"/>
        <v>1.4000000000000002E-2</v>
      </c>
      <c r="C45" s="1">
        <f t="shared" si="14"/>
        <v>0.63400000000000001</v>
      </c>
      <c r="D45" s="1">
        <f t="shared" si="14"/>
        <v>0.35</v>
      </c>
      <c r="E45" s="1">
        <f t="shared" si="14"/>
        <v>0</v>
      </c>
      <c r="F45" s="5">
        <f t="shared" si="14"/>
        <v>0</v>
      </c>
      <c r="G45" s="1">
        <f t="shared" si="14"/>
        <v>2E-3</v>
      </c>
      <c r="I45">
        <v>0.01</v>
      </c>
      <c r="J45">
        <v>0.44</v>
      </c>
      <c r="K45">
        <v>0.55000000000000004</v>
      </c>
      <c r="L45">
        <v>0</v>
      </c>
      <c r="M45">
        <v>0</v>
      </c>
      <c r="N45">
        <v>0</v>
      </c>
      <c r="P45">
        <v>0.01</v>
      </c>
      <c r="Q45">
        <v>0.54</v>
      </c>
      <c r="R45">
        <v>0.45</v>
      </c>
      <c r="S45">
        <v>0</v>
      </c>
      <c r="T45">
        <v>0</v>
      </c>
      <c r="U45">
        <v>0</v>
      </c>
      <c r="W45">
        <v>0</v>
      </c>
      <c r="X45">
        <v>1</v>
      </c>
      <c r="Y45">
        <v>0</v>
      </c>
      <c r="Z45">
        <v>0</v>
      </c>
      <c r="AA45">
        <v>0</v>
      </c>
      <c r="AB45">
        <v>0</v>
      </c>
      <c r="AD45">
        <v>0.05</v>
      </c>
      <c r="AE45">
        <v>0.93</v>
      </c>
      <c r="AF45">
        <v>0.01</v>
      </c>
      <c r="AG45">
        <v>0</v>
      </c>
      <c r="AH45">
        <v>0</v>
      </c>
      <c r="AI45">
        <v>0.01</v>
      </c>
      <c r="AK45">
        <v>0</v>
      </c>
      <c r="AL45">
        <v>0.26</v>
      </c>
      <c r="AM45">
        <v>0.74</v>
      </c>
      <c r="AN45">
        <v>0</v>
      </c>
      <c r="AO45">
        <v>0</v>
      </c>
      <c r="AP45">
        <v>0</v>
      </c>
    </row>
    <row r="46" spans="1:42" x14ac:dyDescent="0.25">
      <c r="A46" t="s">
        <v>5</v>
      </c>
      <c r="B46" s="1">
        <f t="shared" si="14"/>
        <v>1.3999999999999999E-2</v>
      </c>
      <c r="C46" s="1">
        <f t="shared" si="14"/>
        <v>0.64400000000000002</v>
      </c>
      <c r="D46" s="1">
        <f t="shared" si="14"/>
        <v>0.33200000000000002</v>
      </c>
      <c r="E46" s="1">
        <f t="shared" si="14"/>
        <v>0</v>
      </c>
      <c r="F46" s="1">
        <f t="shared" si="14"/>
        <v>0</v>
      </c>
      <c r="G46" s="5">
        <f t="shared" si="14"/>
        <v>8.0000000000000002E-3</v>
      </c>
      <c r="I46">
        <v>0</v>
      </c>
      <c r="J46">
        <v>0.45</v>
      </c>
      <c r="K46">
        <v>0.55000000000000004</v>
      </c>
      <c r="L46">
        <v>0</v>
      </c>
      <c r="M46">
        <v>0</v>
      </c>
      <c r="N46">
        <v>0</v>
      </c>
      <c r="P46">
        <v>0.01</v>
      </c>
      <c r="Q46">
        <v>0.66</v>
      </c>
      <c r="R46">
        <v>0.31</v>
      </c>
      <c r="S46">
        <v>0</v>
      </c>
      <c r="T46">
        <v>0</v>
      </c>
      <c r="U46">
        <v>0.01</v>
      </c>
      <c r="W46">
        <v>0</v>
      </c>
      <c r="X46">
        <v>1</v>
      </c>
      <c r="Y46">
        <v>0</v>
      </c>
      <c r="Z46">
        <v>0</v>
      </c>
      <c r="AA46">
        <v>0</v>
      </c>
      <c r="AB46">
        <v>0</v>
      </c>
      <c r="AD46">
        <v>0.06</v>
      </c>
      <c r="AE46">
        <v>0.9</v>
      </c>
      <c r="AF46">
        <v>0.01</v>
      </c>
      <c r="AG46">
        <v>0</v>
      </c>
      <c r="AH46">
        <v>0</v>
      </c>
      <c r="AI46">
        <v>0.03</v>
      </c>
      <c r="AK46">
        <v>0</v>
      </c>
      <c r="AL46">
        <v>0.21</v>
      </c>
      <c r="AM46">
        <v>0.79</v>
      </c>
      <c r="AN46">
        <v>0</v>
      </c>
      <c r="AO46">
        <v>0</v>
      </c>
      <c r="AP46">
        <v>0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0.22600000000000003</v>
      </c>
      <c r="C48" s="1"/>
      <c r="D48" s="1"/>
      <c r="E48" s="1"/>
      <c r="F48" s="1"/>
      <c r="G48" s="1"/>
      <c r="I48">
        <v>0.25</v>
      </c>
      <c r="P48">
        <v>0.2</v>
      </c>
      <c r="W48">
        <v>0.17</v>
      </c>
      <c r="AD48">
        <v>0.28000000000000003</v>
      </c>
      <c r="AK48">
        <v>0.23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32E42-0EA9-4C31-986B-36B57F09D7D5}">
  <sheetPr codeName="Arkusz15"/>
  <dimension ref="A4:AP48"/>
  <sheetViews>
    <sheetView topLeftCell="A16" zoomScaleNormal="100" workbookViewId="0">
      <selection activeCell="B26" sqref="B26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0.74399999999999999</v>
      </c>
      <c r="C5" s="1">
        <f t="shared" ref="C5:G5" si="0">AVERAGE(J5,Q5,X5,AE5,AL5)</f>
        <v>5.800000000000001E-2</v>
      </c>
      <c r="D5" s="1">
        <f t="shared" si="0"/>
        <v>0.14799999999999999</v>
      </c>
      <c r="E5" s="1">
        <f t="shared" si="0"/>
        <v>1.6E-2</v>
      </c>
      <c r="F5" s="1">
        <f t="shared" si="0"/>
        <v>2E-3</v>
      </c>
      <c r="G5" s="1">
        <f t="shared" si="0"/>
        <v>3.5999999999999997E-2</v>
      </c>
      <c r="I5">
        <v>0.77</v>
      </c>
      <c r="J5">
        <v>0.11</v>
      </c>
      <c r="K5">
        <v>0.06</v>
      </c>
      <c r="L5">
        <v>0.02</v>
      </c>
      <c r="M5">
        <v>0</v>
      </c>
      <c r="N5">
        <v>0.03</v>
      </c>
      <c r="P5">
        <v>0.79</v>
      </c>
      <c r="Q5">
        <v>7.0000000000000007E-2</v>
      </c>
      <c r="R5">
        <v>7.0000000000000007E-2</v>
      </c>
      <c r="S5">
        <v>0.02</v>
      </c>
      <c r="T5">
        <v>0</v>
      </c>
      <c r="U5">
        <v>0.05</v>
      </c>
      <c r="W5">
        <v>0.81</v>
      </c>
      <c r="X5">
        <v>0.09</v>
      </c>
      <c r="Y5">
        <v>0.04</v>
      </c>
      <c r="Z5">
        <v>0.02</v>
      </c>
      <c r="AA5">
        <v>0</v>
      </c>
      <c r="AB5">
        <v>0.05</v>
      </c>
      <c r="AD5">
        <v>0.61</v>
      </c>
      <c r="AE5">
        <v>0.01</v>
      </c>
      <c r="AF5">
        <v>0.37</v>
      </c>
      <c r="AG5">
        <v>0</v>
      </c>
      <c r="AH5">
        <v>0</v>
      </c>
      <c r="AI5">
        <v>0.02</v>
      </c>
      <c r="AK5">
        <v>0.74</v>
      </c>
      <c r="AL5">
        <v>0.01</v>
      </c>
      <c r="AM5">
        <v>0.2</v>
      </c>
      <c r="AN5">
        <v>0.02</v>
      </c>
      <c r="AO5">
        <v>0.01</v>
      </c>
      <c r="AP5">
        <v>0.03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0.99600000000000011</v>
      </c>
      <c r="D6" s="1">
        <f t="shared" ref="D6:D10" si="2">AVERAGE(K6,R6,Y6,AF6,AM6)</f>
        <v>4.0000000000000001E-3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6.2000000000000013E-2</v>
      </c>
      <c r="D7" s="11">
        <f>AVERAGE(K7,R7,Y7,AF7,AM7)</f>
        <v>0.93399999999999994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7.0000000000000007E-2</v>
      </c>
      <c r="K7">
        <v>0.93</v>
      </c>
      <c r="L7">
        <v>0</v>
      </c>
      <c r="M7">
        <v>0</v>
      </c>
      <c r="N7">
        <v>0</v>
      </c>
      <c r="P7">
        <v>0</v>
      </c>
      <c r="Q7">
        <v>0.08</v>
      </c>
      <c r="R7">
        <v>0.92</v>
      </c>
      <c r="S7">
        <v>0</v>
      </c>
      <c r="T7">
        <v>0</v>
      </c>
      <c r="U7">
        <v>0</v>
      </c>
      <c r="W7">
        <v>0.01</v>
      </c>
      <c r="X7">
        <v>0.16</v>
      </c>
      <c r="Y7">
        <v>0.82</v>
      </c>
      <c r="Z7">
        <v>0</v>
      </c>
      <c r="AA7">
        <v>0</v>
      </c>
      <c r="AB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1.6E-2</v>
      </c>
      <c r="C8" s="1">
        <f t="shared" si="6"/>
        <v>0.16800000000000001</v>
      </c>
      <c r="D8" s="1">
        <f t="shared" si="2"/>
        <v>0.254</v>
      </c>
      <c r="E8" s="11">
        <f>AVERAGE(L8,S8,Z8,AG8,AN8)</f>
        <v>0.53400000000000003</v>
      </c>
      <c r="F8" s="1">
        <f t="shared" si="4"/>
        <v>2E-3</v>
      </c>
      <c r="G8" s="1">
        <f t="shared" si="5"/>
        <v>2.4E-2</v>
      </c>
      <c r="I8">
        <v>0.01</v>
      </c>
      <c r="J8">
        <v>0.28999999999999998</v>
      </c>
      <c r="K8">
        <v>0.08</v>
      </c>
      <c r="L8">
        <v>0.59</v>
      </c>
      <c r="M8">
        <v>0</v>
      </c>
      <c r="N8">
        <v>0.02</v>
      </c>
      <c r="P8">
        <v>0.02</v>
      </c>
      <c r="Q8">
        <v>0.2</v>
      </c>
      <c r="R8">
        <v>0.14000000000000001</v>
      </c>
      <c r="S8">
        <v>0.61</v>
      </c>
      <c r="T8">
        <v>0.01</v>
      </c>
      <c r="U8">
        <v>0.03</v>
      </c>
      <c r="W8">
        <v>0.02</v>
      </c>
      <c r="X8">
        <v>0.23</v>
      </c>
      <c r="Y8">
        <v>0.1</v>
      </c>
      <c r="Z8">
        <v>0.61</v>
      </c>
      <c r="AA8">
        <v>0</v>
      </c>
      <c r="AB8">
        <v>0.03</v>
      </c>
      <c r="AD8">
        <v>0.01</v>
      </c>
      <c r="AE8">
        <v>7.0000000000000007E-2</v>
      </c>
      <c r="AF8">
        <v>0.56999999999999995</v>
      </c>
      <c r="AG8">
        <v>0.35</v>
      </c>
      <c r="AH8">
        <v>0</v>
      </c>
      <c r="AI8">
        <v>0.01</v>
      </c>
      <c r="AK8">
        <v>0.02</v>
      </c>
      <c r="AL8">
        <v>0.05</v>
      </c>
      <c r="AM8">
        <v>0.38</v>
      </c>
      <c r="AN8">
        <v>0.51</v>
      </c>
      <c r="AO8">
        <v>0</v>
      </c>
      <c r="AP8">
        <v>0.03</v>
      </c>
    </row>
    <row r="9" spans="1:42" x14ac:dyDescent="0.25">
      <c r="A9" t="s">
        <v>4</v>
      </c>
      <c r="B9" s="1">
        <f t="shared" si="1"/>
        <v>7.5999999999999998E-2</v>
      </c>
      <c r="C9" s="1">
        <f t="shared" si="6"/>
        <v>0.26200000000000001</v>
      </c>
      <c r="D9" s="1">
        <f t="shared" si="2"/>
        <v>0.38</v>
      </c>
      <c r="E9" s="1">
        <f t="shared" si="3"/>
        <v>6.8000000000000005E-2</v>
      </c>
      <c r="F9" s="11">
        <f>AVERAGE(M9,T9,AA9,AH9,AO9)</f>
        <v>9.1999999999999998E-2</v>
      </c>
      <c r="G9" s="1">
        <f t="shared" si="5"/>
        <v>0.12</v>
      </c>
      <c r="I9">
        <v>0.09</v>
      </c>
      <c r="J9">
        <v>0.45</v>
      </c>
      <c r="K9">
        <v>0.16</v>
      </c>
      <c r="L9">
        <v>7.0000000000000007E-2</v>
      </c>
      <c r="M9">
        <v>0.11</v>
      </c>
      <c r="N9">
        <v>0.12</v>
      </c>
      <c r="P9">
        <v>0.09</v>
      </c>
      <c r="Q9">
        <v>0.3</v>
      </c>
      <c r="R9">
        <v>0.23</v>
      </c>
      <c r="S9">
        <v>0.08</v>
      </c>
      <c r="T9">
        <v>0.15</v>
      </c>
      <c r="U9">
        <v>0.14000000000000001</v>
      </c>
      <c r="W9">
        <v>0.09</v>
      </c>
      <c r="X9">
        <v>0.42</v>
      </c>
      <c r="Y9">
        <v>0.15</v>
      </c>
      <c r="Z9">
        <v>0.1</v>
      </c>
      <c r="AA9">
        <v>0.06</v>
      </c>
      <c r="AB9">
        <v>0.17</v>
      </c>
      <c r="AD9">
        <v>0.04</v>
      </c>
      <c r="AE9">
        <v>0.08</v>
      </c>
      <c r="AF9">
        <v>0.77</v>
      </c>
      <c r="AG9">
        <v>0.03</v>
      </c>
      <c r="AH9">
        <v>0.01</v>
      </c>
      <c r="AI9">
        <v>0.08</v>
      </c>
      <c r="AK9">
        <v>7.0000000000000007E-2</v>
      </c>
      <c r="AL9">
        <v>0.06</v>
      </c>
      <c r="AM9">
        <v>0.59</v>
      </c>
      <c r="AN9">
        <v>0.06</v>
      </c>
      <c r="AO9">
        <v>0.13</v>
      </c>
      <c r="AP9">
        <v>0.09</v>
      </c>
    </row>
    <row r="10" spans="1:42" x14ac:dyDescent="0.25">
      <c r="A10" t="s">
        <v>5</v>
      </c>
      <c r="B10" s="1">
        <f t="shared" si="1"/>
        <v>0.03</v>
      </c>
      <c r="C10" s="1">
        <f t="shared" si="6"/>
        <v>7.5999999999999998E-2</v>
      </c>
      <c r="D10" s="1">
        <f t="shared" si="2"/>
        <v>0.22600000000000003</v>
      </c>
      <c r="E10" s="1">
        <f t="shared" si="3"/>
        <v>8.0000000000000002E-3</v>
      </c>
      <c r="F10" s="1">
        <f t="shared" si="4"/>
        <v>2E-3</v>
      </c>
      <c r="G10" s="11">
        <f>AVERAGE(N10,U10,AB10,AI10,AP10)</f>
        <v>0.65400000000000014</v>
      </c>
      <c r="I10">
        <v>0.03</v>
      </c>
      <c r="J10">
        <v>0.15</v>
      </c>
      <c r="K10">
        <v>0.13</v>
      </c>
      <c r="L10">
        <v>0</v>
      </c>
      <c r="M10">
        <v>0</v>
      </c>
      <c r="N10">
        <v>0.68</v>
      </c>
      <c r="P10">
        <v>0.03</v>
      </c>
      <c r="Q10">
        <v>0.1</v>
      </c>
      <c r="R10">
        <v>0.13</v>
      </c>
      <c r="S10">
        <v>0.01</v>
      </c>
      <c r="T10">
        <v>0</v>
      </c>
      <c r="U10">
        <v>0.73</v>
      </c>
      <c r="W10">
        <v>0.05</v>
      </c>
      <c r="X10">
        <v>0.1</v>
      </c>
      <c r="Y10">
        <v>7.0000000000000007E-2</v>
      </c>
      <c r="Z10">
        <v>0.01</v>
      </c>
      <c r="AA10">
        <v>0.01</v>
      </c>
      <c r="AB10">
        <v>0.77</v>
      </c>
      <c r="AD10">
        <v>0.01</v>
      </c>
      <c r="AE10">
        <v>0.01</v>
      </c>
      <c r="AF10">
        <v>0.51</v>
      </c>
      <c r="AG10">
        <v>0.01</v>
      </c>
      <c r="AH10">
        <v>0</v>
      </c>
      <c r="AI10">
        <v>0.45</v>
      </c>
      <c r="AK10">
        <v>0.03</v>
      </c>
      <c r="AL10">
        <v>0.02</v>
      </c>
      <c r="AM10">
        <v>0.28999999999999998</v>
      </c>
      <c r="AN10">
        <v>0.01</v>
      </c>
      <c r="AO10">
        <v>0</v>
      </c>
      <c r="AP10">
        <v>0.64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0.65999999999999992</v>
      </c>
      <c r="C12" s="1"/>
      <c r="D12" s="1"/>
      <c r="E12" s="1"/>
      <c r="F12" s="1"/>
      <c r="G12" s="1"/>
      <c r="I12">
        <v>0.68</v>
      </c>
      <c r="J12">
        <v>2193</v>
      </c>
      <c r="P12">
        <v>0.7</v>
      </c>
      <c r="Q12">
        <v>2188</v>
      </c>
      <c r="W12">
        <v>0.68</v>
      </c>
      <c r="X12">
        <v>2189</v>
      </c>
      <c r="AD12">
        <v>0.56999999999999995</v>
      </c>
      <c r="AE12">
        <v>2191</v>
      </c>
      <c r="AK12">
        <v>0.67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0.55199999999999994</v>
      </c>
      <c r="C16" s="1">
        <f t="shared" ref="C16:C21" si="7">AVERAGE(J16,Q16,X16,AE16,AL16)</f>
        <v>6.2000000000000013E-2</v>
      </c>
      <c r="D16" s="1">
        <f t="shared" ref="D16:D21" si="8">AVERAGE(K16,R16,Y16,AF16,AM16)</f>
        <v>0.23399999999999999</v>
      </c>
      <c r="E16" s="1">
        <f t="shared" ref="E16:E21" si="9">AVERAGE(L16,S16,Z16,AG16,AN16)</f>
        <v>2.4E-2</v>
      </c>
      <c r="F16" s="1">
        <f t="shared" ref="F16:F21" si="10">AVERAGE(M16,T16,AA16,AH16,AO16)</f>
        <v>0.01</v>
      </c>
      <c r="G16" s="1">
        <f t="shared" ref="G16:G20" si="11">AVERAGE(N16,U16,AB16,AI16,AP16)</f>
        <v>0.12</v>
      </c>
      <c r="I16">
        <v>0.66</v>
      </c>
      <c r="J16">
        <v>0.09</v>
      </c>
      <c r="K16">
        <v>0.17</v>
      </c>
      <c r="L16">
        <v>0.02</v>
      </c>
      <c r="M16">
        <v>0</v>
      </c>
      <c r="N16">
        <v>0.06</v>
      </c>
      <c r="P16">
        <v>0.53</v>
      </c>
      <c r="Q16">
        <v>0.08</v>
      </c>
      <c r="R16">
        <v>0.23</v>
      </c>
      <c r="S16">
        <v>0.08</v>
      </c>
      <c r="T16">
        <v>0.03</v>
      </c>
      <c r="U16">
        <v>0.06</v>
      </c>
      <c r="W16">
        <v>0.59</v>
      </c>
      <c r="X16">
        <v>0.09</v>
      </c>
      <c r="Y16">
        <v>0.06</v>
      </c>
      <c r="Z16">
        <v>0.02</v>
      </c>
      <c r="AA16">
        <v>0</v>
      </c>
      <c r="AB16">
        <v>0.24</v>
      </c>
      <c r="AD16">
        <v>0.45</v>
      </c>
      <c r="AE16">
        <v>0.03</v>
      </c>
      <c r="AF16">
        <v>0.45</v>
      </c>
      <c r="AG16">
        <v>0</v>
      </c>
      <c r="AH16">
        <v>0</v>
      </c>
      <c r="AI16">
        <v>0.06</v>
      </c>
      <c r="AK16">
        <v>0.53</v>
      </c>
      <c r="AL16">
        <v>0.02</v>
      </c>
      <c r="AM16">
        <v>0.26</v>
      </c>
      <c r="AN16">
        <v>0</v>
      </c>
      <c r="AO16">
        <v>0.02</v>
      </c>
      <c r="AP16">
        <v>0.18</v>
      </c>
    </row>
    <row r="17" spans="1:42" x14ac:dyDescent="0.25">
      <c r="A17" t="s">
        <v>2</v>
      </c>
      <c r="B17" s="1">
        <f t="shared" ref="B17:B21" si="12">AVERAGE(I17,P17,W17,AD17,AK17)</f>
        <v>1.4000000000000002E-2</v>
      </c>
      <c r="C17" s="11">
        <f>AVERAGE(J17,Q17,X17,AE17,AL17)</f>
        <v>0.59000000000000008</v>
      </c>
      <c r="D17" s="1">
        <f t="shared" si="8"/>
        <v>0.33</v>
      </c>
      <c r="E17" s="1">
        <f t="shared" si="9"/>
        <v>5.4000000000000006E-2</v>
      </c>
      <c r="F17" s="1">
        <f t="shared" si="10"/>
        <v>1.2E-2</v>
      </c>
      <c r="G17" s="1">
        <f t="shared" si="11"/>
        <v>0</v>
      </c>
      <c r="I17">
        <v>7.0000000000000007E-2</v>
      </c>
      <c r="J17">
        <v>0.8</v>
      </c>
      <c r="K17">
        <v>7.0000000000000007E-2</v>
      </c>
      <c r="L17">
        <v>7.0000000000000007E-2</v>
      </c>
      <c r="M17">
        <v>0</v>
      </c>
      <c r="N17">
        <v>0</v>
      </c>
      <c r="P17">
        <v>0</v>
      </c>
      <c r="Q17">
        <v>0.75</v>
      </c>
      <c r="R17">
        <v>0.19</v>
      </c>
      <c r="S17">
        <v>0</v>
      </c>
      <c r="T17">
        <v>0.06</v>
      </c>
      <c r="U17">
        <v>0</v>
      </c>
      <c r="W17">
        <v>0</v>
      </c>
      <c r="X17">
        <v>0.8</v>
      </c>
      <c r="Y17">
        <v>0.13</v>
      </c>
      <c r="Z17">
        <v>7.0000000000000007E-2</v>
      </c>
      <c r="AA17">
        <v>0</v>
      </c>
      <c r="AB17">
        <v>0</v>
      </c>
      <c r="AD17">
        <v>0</v>
      </c>
      <c r="AE17">
        <v>0.27</v>
      </c>
      <c r="AF17">
        <v>0.73</v>
      </c>
      <c r="AG17">
        <v>0</v>
      </c>
      <c r="AH17">
        <v>0</v>
      </c>
      <c r="AI17">
        <v>0</v>
      </c>
      <c r="AK17">
        <v>0</v>
      </c>
      <c r="AL17">
        <v>0.33</v>
      </c>
      <c r="AM17">
        <v>0.53</v>
      </c>
      <c r="AN17">
        <v>0.13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4.2000000000000003E-2</v>
      </c>
      <c r="C18" s="1">
        <f t="shared" si="7"/>
        <v>0.28199999999999997</v>
      </c>
      <c r="D18" s="11">
        <f>AVERAGE(K18,R18,Y18,AF18,AM18)</f>
        <v>0.59199999999999997</v>
      </c>
      <c r="E18" s="1">
        <f t="shared" si="9"/>
        <v>4.3999999999999997E-2</v>
      </c>
      <c r="F18" s="1">
        <f t="shared" si="10"/>
        <v>0</v>
      </c>
      <c r="G18" s="1">
        <f t="shared" si="11"/>
        <v>3.6000000000000004E-2</v>
      </c>
      <c r="I18">
        <v>0</v>
      </c>
      <c r="J18">
        <v>0.5</v>
      </c>
      <c r="K18">
        <v>0.27</v>
      </c>
      <c r="L18">
        <v>0.09</v>
      </c>
      <c r="M18">
        <v>0</v>
      </c>
      <c r="N18">
        <v>0.14000000000000001</v>
      </c>
      <c r="P18">
        <v>0.13</v>
      </c>
      <c r="Q18">
        <v>0.3</v>
      </c>
      <c r="R18">
        <v>0.48</v>
      </c>
      <c r="S18">
        <v>0.09</v>
      </c>
      <c r="T18">
        <v>0</v>
      </c>
      <c r="U18">
        <v>0</v>
      </c>
      <c r="W18">
        <v>0.04</v>
      </c>
      <c r="X18">
        <v>0.35</v>
      </c>
      <c r="Y18">
        <v>0.52</v>
      </c>
      <c r="Z18">
        <v>0.04</v>
      </c>
      <c r="AA18">
        <v>0</v>
      </c>
      <c r="AB18">
        <v>0.04</v>
      </c>
      <c r="AD18">
        <v>0.04</v>
      </c>
      <c r="AE18">
        <v>0.17</v>
      </c>
      <c r="AF18">
        <v>0.78</v>
      </c>
      <c r="AG18">
        <v>0</v>
      </c>
      <c r="AH18">
        <v>0</v>
      </c>
      <c r="AI18">
        <v>0</v>
      </c>
      <c r="AK18">
        <v>0</v>
      </c>
      <c r="AL18">
        <v>0.09</v>
      </c>
      <c r="AM18">
        <v>0.91</v>
      </c>
      <c r="AN18">
        <v>0</v>
      </c>
      <c r="AO18">
        <v>0</v>
      </c>
      <c r="AP18">
        <v>0</v>
      </c>
    </row>
    <row r="19" spans="1:42" x14ac:dyDescent="0.25">
      <c r="A19" t="s">
        <v>3</v>
      </c>
      <c r="B19" s="1">
        <f t="shared" si="12"/>
        <v>2.4E-2</v>
      </c>
      <c r="C19" s="1">
        <f t="shared" si="7"/>
        <v>0.2</v>
      </c>
      <c r="D19" s="1">
        <f t="shared" si="8"/>
        <v>0.26800000000000002</v>
      </c>
      <c r="E19" s="11">
        <f>AVERAGE(L19,S19,Z19,AG19,AN19)</f>
        <v>0.46400000000000008</v>
      </c>
      <c r="F19" s="1">
        <f t="shared" si="10"/>
        <v>8.0000000000000002E-3</v>
      </c>
      <c r="G19" s="1">
        <f t="shared" si="11"/>
        <v>3.7999999999999992E-2</v>
      </c>
      <c r="I19">
        <v>0.05</v>
      </c>
      <c r="J19">
        <v>0.27</v>
      </c>
      <c r="K19">
        <v>0.08</v>
      </c>
      <c r="L19">
        <v>0.53</v>
      </c>
      <c r="M19">
        <v>0.02</v>
      </c>
      <c r="N19">
        <v>0.05</v>
      </c>
      <c r="P19">
        <v>0.03</v>
      </c>
      <c r="Q19">
        <v>0.26</v>
      </c>
      <c r="R19">
        <v>0.18</v>
      </c>
      <c r="S19">
        <v>0.49</v>
      </c>
      <c r="T19">
        <v>0.02</v>
      </c>
      <c r="U19">
        <v>0.04</v>
      </c>
      <c r="W19">
        <v>0.02</v>
      </c>
      <c r="X19">
        <v>0.31</v>
      </c>
      <c r="Y19">
        <v>0.12</v>
      </c>
      <c r="Z19">
        <v>0.49</v>
      </c>
      <c r="AA19">
        <v>0</v>
      </c>
      <c r="AB19">
        <v>0.06</v>
      </c>
      <c r="AD19">
        <v>0.01</v>
      </c>
      <c r="AE19">
        <v>0.1</v>
      </c>
      <c r="AF19">
        <v>0.54</v>
      </c>
      <c r="AG19">
        <v>0.33</v>
      </c>
      <c r="AH19">
        <v>0</v>
      </c>
      <c r="AI19">
        <v>0.02</v>
      </c>
      <c r="AK19">
        <v>0.01</v>
      </c>
      <c r="AL19">
        <v>0.06</v>
      </c>
      <c r="AM19">
        <v>0.42</v>
      </c>
      <c r="AN19">
        <v>0.48</v>
      </c>
      <c r="AO19">
        <v>0</v>
      </c>
      <c r="AP19">
        <v>0.02</v>
      </c>
    </row>
    <row r="20" spans="1:42" x14ac:dyDescent="0.25">
      <c r="A20" t="s">
        <v>4</v>
      </c>
      <c r="B20" s="1">
        <f t="shared" si="12"/>
        <v>0.11200000000000002</v>
      </c>
      <c r="C20" s="1">
        <f t="shared" si="7"/>
        <v>0.22600000000000003</v>
      </c>
      <c r="D20" s="1">
        <f t="shared" si="8"/>
        <v>0.34599999999999997</v>
      </c>
      <c r="E20" s="1">
        <f t="shared" si="9"/>
        <v>0.126</v>
      </c>
      <c r="F20" s="11">
        <f>AVERAGE(M20,T20,AA20,AH20,AO20)</f>
        <v>0.04</v>
      </c>
      <c r="G20" s="1">
        <f t="shared" si="11"/>
        <v>0.152</v>
      </c>
      <c r="I20">
        <v>0.16</v>
      </c>
      <c r="J20">
        <v>0.3</v>
      </c>
      <c r="K20">
        <v>0.2</v>
      </c>
      <c r="L20">
        <v>0.15</v>
      </c>
      <c r="M20">
        <v>0.02</v>
      </c>
      <c r="N20">
        <v>0.18</v>
      </c>
      <c r="P20">
        <v>0.1</v>
      </c>
      <c r="Q20">
        <v>0.33</v>
      </c>
      <c r="R20">
        <v>0.19</v>
      </c>
      <c r="S20">
        <v>0.16</v>
      </c>
      <c r="T20">
        <v>0.09</v>
      </c>
      <c r="U20">
        <v>0.14000000000000001</v>
      </c>
      <c r="W20">
        <v>0.13</v>
      </c>
      <c r="X20">
        <v>0.34</v>
      </c>
      <c r="Y20">
        <v>0.19</v>
      </c>
      <c r="Z20">
        <v>0.12</v>
      </c>
      <c r="AA20">
        <v>0.02</v>
      </c>
      <c r="AB20">
        <v>0.19</v>
      </c>
      <c r="AD20">
        <v>0.02</v>
      </c>
      <c r="AE20">
        <v>0.06</v>
      </c>
      <c r="AF20">
        <v>0.78</v>
      </c>
      <c r="AG20">
        <v>0.06</v>
      </c>
      <c r="AH20">
        <v>0</v>
      </c>
      <c r="AI20">
        <v>0.08</v>
      </c>
      <c r="AK20">
        <v>0.15</v>
      </c>
      <c r="AL20">
        <v>0.1</v>
      </c>
      <c r="AM20">
        <v>0.37</v>
      </c>
      <c r="AN20">
        <v>0.14000000000000001</v>
      </c>
      <c r="AO20">
        <v>7.0000000000000007E-2</v>
      </c>
      <c r="AP20">
        <v>0.17</v>
      </c>
    </row>
    <row r="21" spans="1:42" x14ac:dyDescent="0.25">
      <c r="A21" t="s">
        <v>5</v>
      </c>
      <c r="B21" s="1">
        <f t="shared" si="12"/>
        <v>0.11399999999999999</v>
      </c>
      <c r="C21" s="1">
        <f t="shared" si="7"/>
        <v>8.6000000000000007E-2</v>
      </c>
      <c r="D21" s="1">
        <f t="shared" si="8"/>
        <v>0.34599999999999997</v>
      </c>
      <c r="E21" s="1">
        <f t="shared" si="9"/>
        <v>2.8000000000000004E-2</v>
      </c>
      <c r="F21" s="1">
        <f t="shared" si="10"/>
        <v>2.6000000000000002E-2</v>
      </c>
      <c r="G21" s="11">
        <f>AVERAGE(N21,U21,AB21,AI21,AP21)</f>
        <v>0.39600000000000002</v>
      </c>
      <c r="I21">
        <v>0.13</v>
      </c>
      <c r="J21">
        <v>0.12</v>
      </c>
      <c r="K21">
        <v>0.18</v>
      </c>
      <c r="L21">
        <v>0.05</v>
      </c>
      <c r="M21">
        <v>0.03</v>
      </c>
      <c r="N21">
        <v>0.48</v>
      </c>
      <c r="P21">
        <v>0.2</v>
      </c>
      <c r="Q21">
        <v>0.11</v>
      </c>
      <c r="R21">
        <v>0.3</v>
      </c>
      <c r="S21">
        <v>0.03</v>
      </c>
      <c r="T21">
        <v>0</v>
      </c>
      <c r="U21">
        <v>0.36</v>
      </c>
      <c r="W21">
        <v>0.11</v>
      </c>
      <c r="X21">
        <v>0.15</v>
      </c>
      <c r="Y21">
        <v>0.18</v>
      </c>
      <c r="Z21">
        <v>0.03</v>
      </c>
      <c r="AA21">
        <v>0.05</v>
      </c>
      <c r="AB21">
        <v>0.48</v>
      </c>
      <c r="AD21">
        <v>0.03</v>
      </c>
      <c r="AE21">
        <v>0.02</v>
      </c>
      <c r="AF21">
        <v>0.67</v>
      </c>
      <c r="AG21">
        <v>0</v>
      </c>
      <c r="AH21">
        <v>0</v>
      </c>
      <c r="AI21">
        <v>0.28000000000000003</v>
      </c>
      <c r="AK21">
        <v>0.1</v>
      </c>
      <c r="AL21">
        <v>0.03</v>
      </c>
      <c r="AM21">
        <v>0.4</v>
      </c>
      <c r="AN21">
        <v>0.03</v>
      </c>
      <c r="AO21">
        <v>0.05</v>
      </c>
      <c r="AP21">
        <v>0.38</v>
      </c>
    </row>
    <row r="22" spans="1:42" x14ac:dyDescent="0.25">
      <c r="B22" s="1">
        <f>AVERAGE(B18:B21,B17)</f>
        <v>6.1200000000000011E-2</v>
      </c>
      <c r="C22" s="1">
        <f>AVERAGE(C18:C21,C16)</f>
        <v>0.17119999999999999</v>
      </c>
      <c r="D22" s="1">
        <f>AVERAGE(D16,D21,D20,D19,D17,)</f>
        <v>0.254</v>
      </c>
      <c r="E22" s="1">
        <f>AVERAGE(E16,E21,E20,E18,E17,)</f>
        <v>4.5999999999999992E-2</v>
      </c>
      <c r="F22" s="1">
        <f>AVERAGE(F16,F21,F18,F19,F17,)</f>
        <v>9.3333333333333341E-3</v>
      </c>
      <c r="G22" s="1">
        <f>AVERAGE(G16,G18,G20,G19,G17,)</f>
        <v>5.7666666666666665E-2</v>
      </c>
    </row>
    <row r="23" spans="1:42" x14ac:dyDescent="0.25">
      <c r="B23" s="11">
        <f>AVERAGE(I23,P23,W23,AD23,AK23)</f>
        <v>0.43800000000000006</v>
      </c>
      <c r="C23" s="1"/>
      <c r="D23" s="1"/>
      <c r="E23" s="1"/>
      <c r="F23" s="1"/>
      <c r="G23" s="1"/>
      <c r="I23">
        <v>0.46</v>
      </c>
      <c r="J23">
        <v>545</v>
      </c>
      <c r="P23">
        <v>0.45</v>
      </c>
      <c r="Q23">
        <v>550</v>
      </c>
      <c r="W23">
        <v>0.48</v>
      </c>
      <c r="X23">
        <v>549</v>
      </c>
      <c r="AD23">
        <v>0.35</v>
      </c>
      <c r="AE23">
        <v>547</v>
      </c>
      <c r="AK23">
        <v>0.45</v>
      </c>
      <c r="AL23">
        <v>547</v>
      </c>
    </row>
    <row r="26" spans="1:42" x14ac:dyDescent="0.25">
      <c r="B26" t="s">
        <v>20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 t="shared" ref="B30:G35" si="13">AVERAGE(I30,P30,W30,AD30,AK30)</f>
        <v>0.70399999999999996</v>
      </c>
      <c r="C30" s="1">
        <f t="shared" si="13"/>
        <v>9.1999999999999998E-2</v>
      </c>
      <c r="D30" s="1">
        <f t="shared" si="13"/>
        <v>0.16400000000000001</v>
      </c>
      <c r="E30" s="1">
        <f t="shared" si="13"/>
        <v>0.01</v>
      </c>
      <c r="F30" s="1">
        <f t="shared" si="13"/>
        <v>2E-3</v>
      </c>
      <c r="G30" s="1">
        <f t="shared" si="13"/>
        <v>3.0000000000000006E-2</v>
      </c>
      <c r="I30">
        <v>0.79</v>
      </c>
      <c r="J30">
        <v>0.14000000000000001</v>
      </c>
      <c r="K30">
        <v>0.05</v>
      </c>
      <c r="L30">
        <v>0.01</v>
      </c>
      <c r="M30">
        <v>0</v>
      </c>
      <c r="N30">
        <v>0.03</v>
      </c>
      <c r="P30">
        <v>0.57999999999999996</v>
      </c>
      <c r="Q30">
        <v>0</v>
      </c>
      <c r="R30">
        <v>0.4</v>
      </c>
      <c r="S30">
        <v>0</v>
      </c>
      <c r="T30">
        <v>0</v>
      </c>
      <c r="U30">
        <v>0.02</v>
      </c>
      <c r="W30">
        <v>0.77</v>
      </c>
      <c r="X30">
        <v>0.14000000000000001</v>
      </c>
      <c r="Y30">
        <v>0.03</v>
      </c>
      <c r="Z30">
        <v>0.01</v>
      </c>
      <c r="AA30">
        <v>0</v>
      </c>
      <c r="AB30">
        <v>0.05</v>
      </c>
      <c r="AD30">
        <v>0.78</v>
      </c>
      <c r="AE30">
        <v>0.12</v>
      </c>
      <c r="AF30">
        <v>0.01</v>
      </c>
      <c r="AG30">
        <v>0.03</v>
      </c>
      <c r="AH30">
        <v>0.01</v>
      </c>
      <c r="AI30">
        <v>0.04</v>
      </c>
      <c r="AK30">
        <v>0.6</v>
      </c>
      <c r="AL30">
        <v>0.06</v>
      </c>
      <c r="AM30">
        <v>0.33</v>
      </c>
      <c r="AN30">
        <v>0</v>
      </c>
      <c r="AO30">
        <v>0</v>
      </c>
      <c r="AP30">
        <v>0.01</v>
      </c>
    </row>
    <row r="31" spans="1:42" x14ac:dyDescent="0.25">
      <c r="A31" t="s">
        <v>2</v>
      </c>
      <c r="B31" s="1">
        <f t="shared" si="13"/>
        <v>0</v>
      </c>
      <c r="C31" s="5">
        <f t="shared" si="13"/>
        <v>0.96</v>
      </c>
      <c r="D31" s="1">
        <f t="shared" si="13"/>
        <v>0.04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0.95</v>
      </c>
      <c r="K31">
        <v>0.05</v>
      </c>
      <c r="L31">
        <v>0</v>
      </c>
      <c r="M31">
        <v>0</v>
      </c>
      <c r="N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0.85</v>
      </c>
      <c r="AM31">
        <v>0.15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 t="shared" si="13"/>
        <v>0</v>
      </c>
      <c r="C32" s="1">
        <f t="shared" si="13"/>
        <v>9.1999999999999998E-2</v>
      </c>
      <c r="D32" s="5">
        <f t="shared" si="13"/>
        <v>0.90599999999999992</v>
      </c>
      <c r="E32" s="1">
        <f t="shared" si="13"/>
        <v>0</v>
      </c>
      <c r="F32" s="1">
        <f t="shared" si="13"/>
        <v>2E-3</v>
      </c>
      <c r="G32" s="1">
        <f t="shared" si="13"/>
        <v>0</v>
      </c>
      <c r="I32">
        <v>0</v>
      </c>
      <c r="J32">
        <v>0.08</v>
      </c>
      <c r="K32">
        <v>0.92</v>
      </c>
      <c r="L32">
        <v>0</v>
      </c>
      <c r="M32">
        <v>0</v>
      </c>
      <c r="N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W32">
        <v>0</v>
      </c>
      <c r="X32">
        <v>0.16</v>
      </c>
      <c r="Y32">
        <v>0.84</v>
      </c>
      <c r="Z32">
        <v>0</v>
      </c>
      <c r="AA32">
        <v>0</v>
      </c>
      <c r="AB32">
        <v>0</v>
      </c>
      <c r="AD32">
        <v>0</v>
      </c>
      <c r="AE32">
        <v>0.22</v>
      </c>
      <c r="AF32">
        <v>0.77</v>
      </c>
      <c r="AG32">
        <v>0</v>
      </c>
      <c r="AH32">
        <v>0.01</v>
      </c>
      <c r="AI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 t="shared" si="13"/>
        <v>1.3999999999999999E-2</v>
      </c>
      <c r="C33" s="1">
        <f t="shared" si="13"/>
        <v>0.21800000000000003</v>
      </c>
      <c r="D33" s="1">
        <f t="shared" si="13"/>
        <v>0.25800000000000001</v>
      </c>
      <c r="E33" s="5">
        <f t="shared" si="13"/>
        <v>0.48399999999999999</v>
      </c>
      <c r="F33" s="1">
        <f t="shared" si="13"/>
        <v>6.0000000000000001E-3</v>
      </c>
      <c r="G33" s="1">
        <f t="shared" si="13"/>
        <v>1.9999999999999997E-2</v>
      </c>
      <c r="I33">
        <v>0.02</v>
      </c>
      <c r="J33">
        <v>0.37</v>
      </c>
      <c r="K33">
        <v>0.1</v>
      </c>
      <c r="L33">
        <v>0.48</v>
      </c>
      <c r="M33">
        <v>0.01</v>
      </c>
      <c r="N33">
        <v>0.03</v>
      </c>
      <c r="P33">
        <v>0</v>
      </c>
      <c r="Q33">
        <v>0.01</v>
      </c>
      <c r="R33">
        <v>0.61</v>
      </c>
      <c r="S33">
        <v>0.37</v>
      </c>
      <c r="T33">
        <v>0</v>
      </c>
      <c r="U33">
        <v>0.01</v>
      </c>
      <c r="W33">
        <v>0.02</v>
      </c>
      <c r="X33">
        <v>0.32</v>
      </c>
      <c r="Y33">
        <v>0.06</v>
      </c>
      <c r="Z33">
        <v>0.57999999999999996</v>
      </c>
      <c r="AA33">
        <v>0</v>
      </c>
      <c r="AB33">
        <v>0.02</v>
      </c>
      <c r="AD33">
        <v>0.02</v>
      </c>
      <c r="AE33">
        <v>0.28999999999999998</v>
      </c>
      <c r="AF33">
        <v>0.03</v>
      </c>
      <c r="AG33">
        <v>0.6</v>
      </c>
      <c r="AH33">
        <v>0.02</v>
      </c>
      <c r="AI33">
        <v>0.03</v>
      </c>
      <c r="AK33">
        <v>0.01</v>
      </c>
      <c r="AL33">
        <v>0.1</v>
      </c>
      <c r="AM33">
        <v>0.49</v>
      </c>
      <c r="AN33">
        <v>0.39</v>
      </c>
      <c r="AO33">
        <v>0</v>
      </c>
      <c r="AP33">
        <v>0.01</v>
      </c>
    </row>
    <row r="34" spans="1:42" x14ac:dyDescent="0.25">
      <c r="A34" t="s">
        <v>4</v>
      </c>
      <c r="B34" s="1">
        <f t="shared" si="13"/>
        <v>6.4000000000000001E-2</v>
      </c>
      <c r="C34" s="1">
        <f t="shared" si="13"/>
        <v>0.32400000000000001</v>
      </c>
      <c r="D34" s="1">
        <f t="shared" si="13"/>
        <v>0.376</v>
      </c>
      <c r="E34" s="1">
        <f t="shared" si="13"/>
        <v>5.2000000000000005E-2</v>
      </c>
      <c r="F34" s="5">
        <f t="shared" si="13"/>
        <v>7.5999999999999998E-2</v>
      </c>
      <c r="G34" s="1">
        <f t="shared" si="13"/>
        <v>0.10400000000000001</v>
      </c>
      <c r="I34">
        <v>0.05</v>
      </c>
      <c r="J34">
        <v>0.56000000000000005</v>
      </c>
      <c r="K34">
        <v>0.13</v>
      </c>
      <c r="L34">
        <v>0.06</v>
      </c>
      <c r="M34">
        <v>7.0000000000000007E-2</v>
      </c>
      <c r="N34">
        <v>0.13</v>
      </c>
      <c r="P34">
        <v>0.03</v>
      </c>
      <c r="Q34">
        <v>0.01</v>
      </c>
      <c r="R34">
        <v>0.86</v>
      </c>
      <c r="S34">
        <v>0.03</v>
      </c>
      <c r="T34">
        <v>0</v>
      </c>
      <c r="U34">
        <v>0.06</v>
      </c>
      <c r="W34">
        <v>0.1</v>
      </c>
      <c r="X34">
        <v>0.52</v>
      </c>
      <c r="Y34">
        <v>0.13</v>
      </c>
      <c r="Z34">
        <v>0.06</v>
      </c>
      <c r="AA34">
        <v>0.06</v>
      </c>
      <c r="AB34">
        <v>0.13</v>
      </c>
      <c r="AD34">
        <v>0.09</v>
      </c>
      <c r="AE34">
        <v>0.41</v>
      </c>
      <c r="AF34">
        <v>0.05</v>
      </c>
      <c r="AG34">
        <v>0.08</v>
      </c>
      <c r="AH34">
        <v>0.24</v>
      </c>
      <c r="AI34">
        <v>0.12</v>
      </c>
      <c r="AK34">
        <v>0.05</v>
      </c>
      <c r="AL34">
        <v>0.12</v>
      </c>
      <c r="AM34">
        <v>0.71</v>
      </c>
      <c r="AN34">
        <v>0.03</v>
      </c>
      <c r="AO34">
        <v>0.01</v>
      </c>
      <c r="AP34">
        <v>0.08</v>
      </c>
    </row>
    <row r="35" spans="1:42" x14ac:dyDescent="0.25">
      <c r="A35" t="s">
        <v>5</v>
      </c>
      <c r="B35" s="1">
        <f t="shared" si="13"/>
        <v>2.8000000000000004E-2</v>
      </c>
      <c r="C35" s="1">
        <f t="shared" si="13"/>
        <v>0.13400000000000004</v>
      </c>
      <c r="D35" s="1">
        <f t="shared" si="13"/>
        <v>0.21400000000000002</v>
      </c>
      <c r="E35" s="1">
        <f t="shared" si="13"/>
        <v>8.0000000000000002E-3</v>
      </c>
      <c r="F35" s="1">
        <f t="shared" si="13"/>
        <v>6.0000000000000001E-3</v>
      </c>
      <c r="G35" s="5">
        <f t="shared" si="13"/>
        <v>0.6100000000000001</v>
      </c>
      <c r="I35">
        <v>0.03</v>
      </c>
      <c r="J35">
        <v>0.22</v>
      </c>
      <c r="K35">
        <v>0.06</v>
      </c>
      <c r="L35">
        <v>0</v>
      </c>
      <c r="M35">
        <v>0</v>
      </c>
      <c r="N35">
        <v>0.68</v>
      </c>
      <c r="P35">
        <v>0</v>
      </c>
      <c r="Q35">
        <v>0</v>
      </c>
      <c r="R35">
        <v>0.5</v>
      </c>
      <c r="S35">
        <v>0</v>
      </c>
      <c r="T35">
        <v>0</v>
      </c>
      <c r="U35">
        <v>0.5</v>
      </c>
      <c r="W35">
        <v>0.06</v>
      </c>
      <c r="X35">
        <v>0.2</v>
      </c>
      <c r="Y35">
        <v>0.05</v>
      </c>
      <c r="Z35">
        <v>0.01</v>
      </c>
      <c r="AA35">
        <v>0.01</v>
      </c>
      <c r="AB35">
        <v>0.68</v>
      </c>
      <c r="AD35">
        <v>0.04</v>
      </c>
      <c r="AE35">
        <v>0.18</v>
      </c>
      <c r="AF35">
        <v>0.03</v>
      </c>
      <c r="AG35">
        <v>0.02</v>
      </c>
      <c r="AH35">
        <v>0.02</v>
      </c>
      <c r="AI35">
        <v>0.71</v>
      </c>
      <c r="AK35">
        <v>0.01</v>
      </c>
      <c r="AL35">
        <v>7.0000000000000007E-2</v>
      </c>
      <c r="AM35">
        <v>0.43</v>
      </c>
      <c r="AN35">
        <v>0.01</v>
      </c>
      <c r="AO35">
        <v>0</v>
      </c>
      <c r="AP35">
        <v>0.48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0.62200000000000011</v>
      </c>
      <c r="C37" s="1"/>
      <c r="D37" s="1"/>
      <c r="E37" s="1"/>
      <c r="F37" s="1"/>
      <c r="G37" s="1"/>
      <c r="I37">
        <v>0.65</v>
      </c>
      <c r="P37">
        <v>0.56999999999999995</v>
      </c>
      <c r="W37">
        <v>0.65</v>
      </c>
      <c r="AD37">
        <v>0.68</v>
      </c>
      <c r="AK37">
        <v>0.56000000000000005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 t="shared" ref="B41:G46" si="14">AVERAGE(I41,P41,W41,AD41,AK41)</f>
        <v>0.51200000000000001</v>
      </c>
      <c r="C41" s="1">
        <f t="shared" si="14"/>
        <v>0.12000000000000002</v>
      </c>
      <c r="D41" s="1">
        <f t="shared" si="14"/>
        <v>0.24399999999999999</v>
      </c>
      <c r="E41" s="1">
        <f t="shared" si="14"/>
        <v>3.0000000000000006E-2</v>
      </c>
      <c r="F41" s="1">
        <f t="shared" si="14"/>
        <v>1.4000000000000002E-2</v>
      </c>
      <c r="G41" s="1">
        <f t="shared" si="14"/>
        <v>7.7999999999999986E-2</v>
      </c>
      <c r="I41">
        <v>0.56000000000000005</v>
      </c>
      <c r="J41">
        <v>0.22</v>
      </c>
      <c r="K41">
        <v>0.11</v>
      </c>
      <c r="L41">
        <v>0.03</v>
      </c>
      <c r="M41">
        <v>0</v>
      </c>
      <c r="N41">
        <v>0.08</v>
      </c>
      <c r="P41">
        <v>0.4</v>
      </c>
      <c r="Q41">
        <v>0</v>
      </c>
      <c r="R41">
        <v>0.51</v>
      </c>
      <c r="S41">
        <v>0</v>
      </c>
      <c r="T41">
        <v>0</v>
      </c>
      <c r="U41">
        <v>0.09</v>
      </c>
      <c r="W41">
        <v>0.6</v>
      </c>
      <c r="X41">
        <v>0.22</v>
      </c>
      <c r="Y41">
        <v>7.0000000000000007E-2</v>
      </c>
      <c r="Z41">
        <v>0.04</v>
      </c>
      <c r="AA41">
        <v>0</v>
      </c>
      <c r="AB41">
        <v>7.0000000000000007E-2</v>
      </c>
      <c r="AD41">
        <v>0.61</v>
      </c>
      <c r="AE41">
        <v>0.09</v>
      </c>
      <c r="AF41">
        <v>0.05</v>
      </c>
      <c r="AG41">
        <v>0.08</v>
      </c>
      <c r="AH41">
        <v>7.0000000000000007E-2</v>
      </c>
      <c r="AI41">
        <v>0.09</v>
      </c>
      <c r="AK41">
        <v>0.39</v>
      </c>
      <c r="AL41">
        <v>7.0000000000000007E-2</v>
      </c>
      <c r="AM41">
        <v>0.48</v>
      </c>
      <c r="AN41">
        <v>0</v>
      </c>
      <c r="AO41">
        <v>0</v>
      </c>
      <c r="AP41">
        <v>0.06</v>
      </c>
    </row>
    <row r="42" spans="1:42" x14ac:dyDescent="0.25">
      <c r="A42" t="s">
        <v>2</v>
      </c>
      <c r="B42" s="1">
        <f t="shared" si="14"/>
        <v>0.01</v>
      </c>
      <c r="C42" s="5">
        <f t="shared" si="14"/>
        <v>0.60799999999999998</v>
      </c>
      <c r="D42" s="1">
        <f t="shared" si="14"/>
        <v>0.316</v>
      </c>
      <c r="E42" s="1">
        <f t="shared" si="14"/>
        <v>6.8000000000000005E-2</v>
      </c>
      <c r="F42" s="1">
        <f t="shared" si="14"/>
        <v>0</v>
      </c>
      <c r="G42" s="1">
        <f t="shared" si="14"/>
        <v>0</v>
      </c>
      <c r="I42">
        <v>0</v>
      </c>
      <c r="J42">
        <v>0.53</v>
      </c>
      <c r="K42">
        <v>0.41</v>
      </c>
      <c r="L42">
        <v>0.06</v>
      </c>
      <c r="M42">
        <v>0</v>
      </c>
      <c r="N42">
        <v>0</v>
      </c>
      <c r="P42">
        <v>0.05</v>
      </c>
      <c r="Q42">
        <v>0.3</v>
      </c>
      <c r="R42">
        <v>0.65</v>
      </c>
      <c r="S42">
        <v>0</v>
      </c>
      <c r="T42">
        <v>0</v>
      </c>
      <c r="U42">
        <v>0</v>
      </c>
      <c r="W42">
        <v>0</v>
      </c>
      <c r="X42">
        <v>0.9</v>
      </c>
      <c r="Y42">
        <v>0</v>
      </c>
      <c r="Z42">
        <v>0.1</v>
      </c>
      <c r="AA42">
        <v>0</v>
      </c>
      <c r="AB42">
        <v>0</v>
      </c>
      <c r="AD42">
        <v>0</v>
      </c>
      <c r="AE42">
        <v>0.88</v>
      </c>
      <c r="AF42">
        <v>0</v>
      </c>
      <c r="AG42">
        <v>0.13</v>
      </c>
      <c r="AH42">
        <v>0</v>
      </c>
      <c r="AI42">
        <v>0</v>
      </c>
      <c r="AK42">
        <v>0</v>
      </c>
      <c r="AL42">
        <v>0.43</v>
      </c>
      <c r="AM42">
        <v>0.52</v>
      </c>
      <c r="AN42">
        <v>0.05</v>
      </c>
      <c r="AO42">
        <v>0</v>
      </c>
      <c r="AP42">
        <v>0</v>
      </c>
    </row>
    <row r="43" spans="1:42" x14ac:dyDescent="0.25">
      <c r="A43" t="s">
        <v>1</v>
      </c>
      <c r="B43" s="1">
        <f t="shared" si="14"/>
        <v>6.0000000000000001E-3</v>
      </c>
      <c r="C43" s="1">
        <f t="shared" si="14"/>
        <v>0.44000000000000006</v>
      </c>
      <c r="D43" s="5">
        <f t="shared" si="14"/>
        <v>0.48399999999999999</v>
      </c>
      <c r="E43" s="1">
        <f t="shared" si="14"/>
        <v>0.05</v>
      </c>
      <c r="F43" s="1">
        <f t="shared" si="14"/>
        <v>0</v>
      </c>
      <c r="G43" s="1">
        <f t="shared" si="14"/>
        <v>1.7999999999999999E-2</v>
      </c>
      <c r="I43">
        <v>0.03</v>
      </c>
      <c r="J43">
        <v>0.5</v>
      </c>
      <c r="K43">
        <v>0.4</v>
      </c>
      <c r="L43">
        <v>0.03</v>
      </c>
      <c r="M43">
        <v>0</v>
      </c>
      <c r="N43">
        <v>0.03</v>
      </c>
      <c r="P43">
        <v>0</v>
      </c>
      <c r="Q43">
        <v>0.08</v>
      </c>
      <c r="R43">
        <v>0.92</v>
      </c>
      <c r="S43">
        <v>0</v>
      </c>
      <c r="T43">
        <v>0</v>
      </c>
      <c r="U43">
        <v>0</v>
      </c>
      <c r="W43">
        <v>0</v>
      </c>
      <c r="X43">
        <v>0.53</v>
      </c>
      <c r="Y43">
        <v>0.28999999999999998</v>
      </c>
      <c r="Z43">
        <v>0.12</v>
      </c>
      <c r="AA43">
        <v>0</v>
      </c>
      <c r="AB43">
        <v>0.06</v>
      </c>
      <c r="AD43">
        <v>0</v>
      </c>
      <c r="AE43">
        <v>0.83</v>
      </c>
      <c r="AF43">
        <v>0.11</v>
      </c>
      <c r="AG43">
        <v>0.06</v>
      </c>
      <c r="AH43">
        <v>0</v>
      </c>
      <c r="AI43">
        <v>0</v>
      </c>
      <c r="AK43">
        <v>0</v>
      </c>
      <c r="AL43">
        <v>0.26</v>
      </c>
      <c r="AM43">
        <v>0.7</v>
      </c>
      <c r="AN43">
        <v>0.04</v>
      </c>
      <c r="AO43">
        <v>0</v>
      </c>
      <c r="AP43">
        <v>0</v>
      </c>
    </row>
    <row r="44" spans="1:42" x14ac:dyDescent="0.25">
      <c r="A44" t="s">
        <v>3</v>
      </c>
      <c r="B44" s="1">
        <f t="shared" si="14"/>
        <v>2.1999999999999999E-2</v>
      </c>
      <c r="C44" s="1">
        <f t="shared" si="14"/>
        <v>0.252</v>
      </c>
      <c r="D44" s="1">
        <f t="shared" si="14"/>
        <v>0.28399999999999997</v>
      </c>
      <c r="E44" s="5">
        <f t="shared" si="14"/>
        <v>0.40599999999999997</v>
      </c>
      <c r="F44" s="1">
        <f t="shared" si="14"/>
        <v>6.0000000000000001E-3</v>
      </c>
      <c r="G44" s="1">
        <f t="shared" si="14"/>
        <v>2.7999999999999997E-2</v>
      </c>
      <c r="I44">
        <v>0.03</v>
      </c>
      <c r="J44">
        <v>0.41</v>
      </c>
      <c r="K44">
        <v>0.13</v>
      </c>
      <c r="L44">
        <v>0.39</v>
      </c>
      <c r="M44">
        <v>0</v>
      </c>
      <c r="N44">
        <v>0.03</v>
      </c>
      <c r="P44">
        <v>0.01</v>
      </c>
      <c r="Q44">
        <v>0.02</v>
      </c>
      <c r="R44">
        <v>0.63</v>
      </c>
      <c r="S44">
        <v>0.34</v>
      </c>
      <c r="T44">
        <v>0</v>
      </c>
      <c r="U44">
        <v>0.01</v>
      </c>
      <c r="W44">
        <v>0.03</v>
      </c>
      <c r="X44">
        <v>0.41</v>
      </c>
      <c r="Y44">
        <v>0.08</v>
      </c>
      <c r="Z44">
        <v>0.44</v>
      </c>
      <c r="AA44">
        <v>0</v>
      </c>
      <c r="AB44">
        <v>0.04</v>
      </c>
      <c r="AD44">
        <v>0.03</v>
      </c>
      <c r="AE44">
        <v>0.32</v>
      </c>
      <c r="AF44">
        <v>0.05</v>
      </c>
      <c r="AG44">
        <v>0.53</v>
      </c>
      <c r="AH44">
        <v>0.03</v>
      </c>
      <c r="AI44">
        <v>0.04</v>
      </c>
      <c r="AK44">
        <v>0.01</v>
      </c>
      <c r="AL44">
        <v>0.1</v>
      </c>
      <c r="AM44">
        <v>0.53</v>
      </c>
      <c r="AN44">
        <v>0.33</v>
      </c>
      <c r="AO44">
        <v>0</v>
      </c>
      <c r="AP44">
        <v>0.02</v>
      </c>
    </row>
    <row r="45" spans="1:42" x14ac:dyDescent="0.25">
      <c r="A45" t="s">
        <v>4</v>
      </c>
      <c r="B45" s="1">
        <f t="shared" si="14"/>
        <v>9.1999999999999998E-2</v>
      </c>
      <c r="C45" s="1">
        <f t="shared" si="14"/>
        <v>0.27799999999999991</v>
      </c>
      <c r="D45" s="1">
        <f t="shared" si="14"/>
        <v>0.374</v>
      </c>
      <c r="E45" s="1">
        <f t="shared" si="14"/>
        <v>9.4E-2</v>
      </c>
      <c r="F45" s="5">
        <f t="shared" si="14"/>
        <v>3.0000000000000006E-2</v>
      </c>
      <c r="G45" s="1">
        <f t="shared" si="14"/>
        <v>0.13600000000000001</v>
      </c>
      <c r="I45">
        <v>0.1</v>
      </c>
      <c r="J45">
        <v>0.45</v>
      </c>
      <c r="K45">
        <v>0.17</v>
      </c>
      <c r="L45">
        <v>0.11</v>
      </c>
      <c r="M45">
        <v>0.01</v>
      </c>
      <c r="N45">
        <v>0.17</v>
      </c>
      <c r="P45">
        <v>0.05</v>
      </c>
      <c r="Q45">
        <v>0.03</v>
      </c>
      <c r="R45">
        <v>0.73</v>
      </c>
      <c r="S45">
        <v>7.0000000000000007E-2</v>
      </c>
      <c r="T45">
        <v>0</v>
      </c>
      <c r="U45">
        <v>0.12</v>
      </c>
      <c r="W45">
        <v>0.12</v>
      </c>
      <c r="X45">
        <v>0.41</v>
      </c>
      <c r="Y45">
        <v>0.18</v>
      </c>
      <c r="Z45">
        <v>0.09</v>
      </c>
      <c r="AA45">
        <v>0.03</v>
      </c>
      <c r="AB45">
        <v>0.18</v>
      </c>
      <c r="AD45">
        <v>0.15</v>
      </c>
      <c r="AE45">
        <v>0.37</v>
      </c>
      <c r="AF45">
        <v>0.1</v>
      </c>
      <c r="AG45">
        <v>0.16</v>
      </c>
      <c r="AH45">
        <v>0.1</v>
      </c>
      <c r="AI45">
        <v>0.12</v>
      </c>
      <c r="AK45">
        <v>0.04</v>
      </c>
      <c r="AL45">
        <v>0.13</v>
      </c>
      <c r="AM45">
        <v>0.69</v>
      </c>
      <c r="AN45">
        <v>0.04</v>
      </c>
      <c r="AO45">
        <v>0.01</v>
      </c>
      <c r="AP45">
        <v>0.09</v>
      </c>
    </row>
    <row r="46" spans="1:42" x14ac:dyDescent="0.25">
      <c r="A46" t="s">
        <v>5</v>
      </c>
      <c r="B46" s="1">
        <f t="shared" si="14"/>
        <v>0.126</v>
      </c>
      <c r="C46" s="1">
        <f t="shared" si="14"/>
        <v>0.16200000000000001</v>
      </c>
      <c r="D46" s="1">
        <f t="shared" si="14"/>
        <v>0.30999999999999994</v>
      </c>
      <c r="E46" s="1">
        <f t="shared" si="14"/>
        <v>3.7999999999999999E-2</v>
      </c>
      <c r="F46" s="1">
        <f t="shared" si="14"/>
        <v>3.0000000000000006E-2</v>
      </c>
      <c r="G46" s="5">
        <f t="shared" si="14"/>
        <v>0.33800000000000002</v>
      </c>
      <c r="I46">
        <v>0.15</v>
      </c>
      <c r="J46">
        <v>0.33</v>
      </c>
      <c r="K46">
        <v>0.09</v>
      </c>
      <c r="L46">
        <v>0.05</v>
      </c>
      <c r="M46">
        <v>0.04</v>
      </c>
      <c r="N46">
        <v>0.35</v>
      </c>
      <c r="P46">
        <v>0.09</v>
      </c>
      <c r="Q46">
        <v>0</v>
      </c>
      <c r="R46">
        <v>0.63</v>
      </c>
      <c r="S46">
        <v>0.06</v>
      </c>
      <c r="T46">
        <v>0</v>
      </c>
      <c r="U46">
        <v>0.22</v>
      </c>
      <c r="W46">
        <v>0.18</v>
      </c>
      <c r="X46">
        <v>0.16</v>
      </c>
      <c r="Y46">
        <v>0.12</v>
      </c>
      <c r="Z46">
        <v>0.04</v>
      </c>
      <c r="AA46">
        <v>0.04</v>
      </c>
      <c r="AB46">
        <v>0.47</v>
      </c>
      <c r="AD46">
        <v>0.16</v>
      </c>
      <c r="AE46">
        <v>0.27</v>
      </c>
      <c r="AF46">
        <v>7.0000000000000007E-2</v>
      </c>
      <c r="AG46">
        <v>0.04</v>
      </c>
      <c r="AH46">
        <v>7.0000000000000007E-2</v>
      </c>
      <c r="AI46">
        <v>0.39</v>
      </c>
      <c r="AK46">
        <v>0.05</v>
      </c>
      <c r="AL46">
        <v>0.05</v>
      </c>
      <c r="AM46">
        <v>0.64</v>
      </c>
      <c r="AN46">
        <v>0</v>
      </c>
      <c r="AO46">
        <v>0</v>
      </c>
      <c r="AP46">
        <v>0.26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0.39600000000000002</v>
      </c>
      <c r="C48" s="1"/>
      <c r="D48" s="1"/>
      <c r="E48" s="1"/>
      <c r="F48" s="1"/>
      <c r="G48" s="1"/>
      <c r="I48">
        <v>0.37</v>
      </c>
      <c r="P48">
        <v>0.36</v>
      </c>
      <c r="W48">
        <v>0.46</v>
      </c>
      <c r="AD48">
        <v>0.44</v>
      </c>
      <c r="AK48">
        <v>0.35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9EA3-8709-4369-A5D9-49A498CB0AE9}">
  <sheetPr codeName="Arkusz16"/>
  <dimension ref="A4:AP47"/>
  <sheetViews>
    <sheetView topLeftCell="A10" workbookViewId="0">
      <selection activeCell="I27" sqref="I27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0.78200000000000003</v>
      </c>
      <c r="C5" s="1">
        <f t="shared" ref="C5:G5" si="0">AVERAGE(J5,Q5,X5,AE5,AL5)</f>
        <v>4.8000000000000001E-2</v>
      </c>
      <c r="D5" s="1">
        <f t="shared" si="0"/>
        <v>0.1</v>
      </c>
      <c r="E5" s="1">
        <f t="shared" si="0"/>
        <v>1.7999999999999999E-2</v>
      </c>
      <c r="F5" s="1">
        <f t="shared" si="0"/>
        <v>0</v>
      </c>
      <c r="G5" s="1">
        <f t="shared" si="0"/>
        <v>5.2000000000000005E-2</v>
      </c>
      <c r="I5">
        <v>0.69</v>
      </c>
      <c r="J5">
        <v>0.03</v>
      </c>
      <c r="K5">
        <v>0.23</v>
      </c>
      <c r="L5">
        <v>0</v>
      </c>
      <c r="M5">
        <v>0</v>
      </c>
      <c r="N5">
        <v>0.04</v>
      </c>
      <c r="P5">
        <v>0.78</v>
      </c>
      <c r="Q5">
        <v>0.02</v>
      </c>
      <c r="R5">
        <v>0.13</v>
      </c>
      <c r="S5">
        <v>0.02</v>
      </c>
      <c r="T5">
        <v>0</v>
      </c>
      <c r="U5">
        <v>0.05</v>
      </c>
      <c r="W5">
        <v>0.89</v>
      </c>
      <c r="X5">
        <v>0.03</v>
      </c>
      <c r="Y5">
        <v>0.02</v>
      </c>
      <c r="Z5">
        <v>0.02</v>
      </c>
      <c r="AA5">
        <v>0</v>
      </c>
      <c r="AB5">
        <v>0.05</v>
      </c>
      <c r="AD5">
        <v>0.81</v>
      </c>
      <c r="AE5">
        <v>0.08</v>
      </c>
      <c r="AF5">
        <v>0.01</v>
      </c>
      <c r="AG5">
        <v>0.02</v>
      </c>
      <c r="AH5">
        <v>0</v>
      </c>
      <c r="AI5">
        <v>0.08</v>
      </c>
      <c r="AK5">
        <v>0.74</v>
      </c>
      <c r="AL5">
        <v>0.08</v>
      </c>
      <c r="AM5">
        <v>0.11</v>
      </c>
      <c r="AN5">
        <v>0.03</v>
      </c>
      <c r="AO5">
        <v>0</v>
      </c>
      <c r="AP5">
        <v>0.04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0.99199999999999999</v>
      </c>
      <c r="D6" s="1">
        <f t="shared" ref="D6:D10" si="2">AVERAGE(K6,R6,Y6,AF6,AM6)</f>
        <v>8.0000000000000002E-3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0.98</v>
      </c>
      <c r="AM6">
        <v>0.02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2.6000000000000002E-2</v>
      </c>
      <c r="D7" s="11">
        <f>AVERAGE(K7,R7,Y7,AF7,AM7)</f>
        <v>0.97399999999999998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0.08</v>
      </c>
      <c r="Y7">
        <v>0.92</v>
      </c>
      <c r="Z7">
        <v>0</v>
      </c>
      <c r="AA7">
        <v>0</v>
      </c>
      <c r="AB7">
        <v>0</v>
      </c>
      <c r="AD7">
        <v>0</v>
      </c>
      <c r="AE7">
        <v>0.05</v>
      </c>
      <c r="AF7">
        <v>0.95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1.7999999999999999E-2</v>
      </c>
      <c r="C8" s="1">
        <f t="shared" si="6"/>
        <v>0.156</v>
      </c>
      <c r="D8" s="1">
        <f t="shared" si="2"/>
        <v>0.21999999999999997</v>
      </c>
      <c r="E8" s="11">
        <f>AVERAGE(L8,S8,Z8,AG8,AN8)</f>
        <v>0.56200000000000006</v>
      </c>
      <c r="F8" s="1">
        <f t="shared" si="4"/>
        <v>6.0000000000000001E-3</v>
      </c>
      <c r="G8" s="1">
        <f t="shared" si="5"/>
        <v>3.4000000000000002E-2</v>
      </c>
      <c r="I8">
        <v>0.01</v>
      </c>
      <c r="J8">
        <v>0.16</v>
      </c>
      <c r="K8">
        <v>0.36</v>
      </c>
      <c r="L8">
        <v>0.45</v>
      </c>
      <c r="M8">
        <v>0</v>
      </c>
      <c r="N8">
        <v>0.02</v>
      </c>
      <c r="P8">
        <v>0.02</v>
      </c>
      <c r="Q8">
        <v>0.08</v>
      </c>
      <c r="R8">
        <v>0.3</v>
      </c>
      <c r="S8">
        <v>0.57999999999999996</v>
      </c>
      <c r="T8">
        <v>0</v>
      </c>
      <c r="U8">
        <v>0.02</v>
      </c>
      <c r="W8">
        <v>0.02</v>
      </c>
      <c r="X8">
        <v>0.16</v>
      </c>
      <c r="Y8">
        <v>0.09</v>
      </c>
      <c r="Z8">
        <v>0.65</v>
      </c>
      <c r="AA8">
        <v>0.02</v>
      </c>
      <c r="AB8">
        <v>0.05</v>
      </c>
      <c r="AD8">
        <v>0.03</v>
      </c>
      <c r="AE8">
        <v>0.26</v>
      </c>
      <c r="AF8">
        <v>0.08</v>
      </c>
      <c r="AG8">
        <v>0.57999999999999996</v>
      </c>
      <c r="AH8">
        <v>0.01</v>
      </c>
      <c r="AI8">
        <v>0.04</v>
      </c>
      <c r="AK8">
        <v>0.01</v>
      </c>
      <c r="AL8">
        <v>0.12</v>
      </c>
      <c r="AM8">
        <v>0.27</v>
      </c>
      <c r="AN8">
        <v>0.55000000000000004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8.5999999999999993E-2</v>
      </c>
      <c r="C9" s="1">
        <f t="shared" si="6"/>
        <v>0.23199999999999998</v>
      </c>
      <c r="D9" s="1">
        <f t="shared" si="2"/>
        <v>0.35000000000000003</v>
      </c>
      <c r="E9" s="1">
        <f t="shared" si="3"/>
        <v>8.2000000000000003E-2</v>
      </c>
      <c r="F9" s="11">
        <f>AVERAGE(M9,T9,AA9,AH9,AO9)</f>
        <v>0.11000000000000001</v>
      </c>
      <c r="G9" s="1">
        <f t="shared" si="5"/>
        <v>0.14199999999999999</v>
      </c>
      <c r="I9">
        <v>7.0000000000000007E-2</v>
      </c>
      <c r="J9">
        <v>0.19</v>
      </c>
      <c r="K9">
        <v>0.56000000000000005</v>
      </c>
      <c r="L9">
        <v>0.04</v>
      </c>
      <c r="M9">
        <v>0.02</v>
      </c>
      <c r="N9">
        <v>0.12</v>
      </c>
      <c r="P9">
        <v>0.08</v>
      </c>
      <c r="Q9">
        <v>0.15</v>
      </c>
      <c r="R9">
        <v>0.52</v>
      </c>
      <c r="S9">
        <v>7.0000000000000007E-2</v>
      </c>
      <c r="T9">
        <v>7.0000000000000007E-2</v>
      </c>
      <c r="U9">
        <v>0.12</v>
      </c>
      <c r="W9">
        <v>0.1</v>
      </c>
      <c r="X9">
        <v>0.25</v>
      </c>
      <c r="Y9">
        <v>0.12</v>
      </c>
      <c r="Z9">
        <v>0.11</v>
      </c>
      <c r="AA9">
        <v>0.23</v>
      </c>
      <c r="AB9">
        <v>0.18</v>
      </c>
      <c r="AD9">
        <v>0.11</v>
      </c>
      <c r="AE9">
        <v>0.35</v>
      </c>
      <c r="AF9">
        <v>0.14000000000000001</v>
      </c>
      <c r="AG9">
        <v>0.11</v>
      </c>
      <c r="AH9">
        <v>0.14000000000000001</v>
      </c>
      <c r="AI9">
        <v>0.16</v>
      </c>
      <c r="AK9">
        <v>7.0000000000000007E-2</v>
      </c>
      <c r="AL9">
        <v>0.22</v>
      </c>
      <c r="AM9">
        <v>0.41</v>
      </c>
      <c r="AN9">
        <v>0.08</v>
      </c>
      <c r="AO9">
        <v>0.09</v>
      </c>
      <c r="AP9">
        <v>0.13</v>
      </c>
    </row>
    <row r="10" spans="1:42" x14ac:dyDescent="0.25">
      <c r="A10" t="s">
        <v>5</v>
      </c>
      <c r="B10" s="1">
        <f t="shared" si="1"/>
        <v>3.6000000000000004E-2</v>
      </c>
      <c r="C10" s="1">
        <f t="shared" si="6"/>
        <v>6.6000000000000003E-2</v>
      </c>
      <c r="D10" s="1">
        <f t="shared" si="2"/>
        <v>0.15400000000000003</v>
      </c>
      <c r="E10" s="1">
        <f t="shared" si="3"/>
        <v>0.01</v>
      </c>
      <c r="F10" s="1">
        <f t="shared" si="4"/>
        <v>0</v>
      </c>
      <c r="G10" s="11">
        <f>AVERAGE(N10,U10,AB10,AI10,AP10)</f>
        <v>0.73199999999999998</v>
      </c>
      <c r="I10">
        <v>0.01</v>
      </c>
      <c r="J10">
        <v>0.05</v>
      </c>
      <c r="K10">
        <v>0.31</v>
      </c>
      <c r="L10">
        <v>0</v>
      </c>
      <c r="M10">
        <v>0</v>
      </c>
      <c r="N10">
        <v>0.63</v>
      </c>
      <c r="P10">
        <v>0.03</v>
      </c>
      <c r="Q10">
        <v>0.02</v>
      </c>
      <c r="R10">
        <v>0.22</v>
      </c>
      <c r="S10">
        <v>0.01</v>
      </c>
      <c r="T10">
        <v>0</v>
      </c>
      <c r="U10">
        <v>0.71</v>
      </c>
      <c r="W10">
        <v>0.06</v>
      </c>
      <c r="X10">
        <v>0.05</v>
      </c>
      <c r="Y10">
        <v>0.04</v>
      </c>
      <c r="Z10">
        <v>0.02</v>
      </c>
      <c r="AA10">
        <v>0</v>
      </c>
      <c r="AB10">
        <v>0.83</v>
      </c>
      <c r="AD10">
        <v>0.05</v>
      </c>
      <c r="AE10">
        <v>0.14000000000000001</v>
      </c>
      <c r="AF10">
        <v>0.03</v>
      </c>
      <c r="AG10">
        <v>0.01</v>
      </c>
      <c r="AH10">
        <v>0</v>
      </c>
      <c r="AI10">
        <v>0.77</v>
      </c>
      <c r="AK10">
        <v>0.03</v>
      </c>
      <c r="AL10">
        <v>7.0000000000000007E-2</v>
      </c>
      <c r="AM10">
        <v>0.17</v>
      </c>
      <c r="AN10">
        <v>0.01</v>
      </c>
      <c r="AO10">
        <v>0</v>
      </c>
      <c r="AP10">
        <v>0.72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0.69199999999999995</v>
      </c>
      <c r="C12" s="1"/>
      <c r="D12" s="1"/>
      <c r="E12" s="1"/>
      <c r="F12" s="1"/>
      <c r="G12" s="1"/>
      <c r="I12">
        <v>0.63</v>
      </c>
      <c r="J12">
        <v>2177</v>
      </c>
      <c r="P12">
        <v>0.69</v>
      </c>
      <c r="Q12">
        <v>2172</v>
      </c>
      <c r="W12">
        <v>0.75</v>
      </c>
      <c r="X12">
        <v>2173</v>
      </c>
      <c r="AD12">
        <v>0.71</v>
      </c>
      <c r="AE12">
        <v>2175</v>
      </c>
      <c r="AK12">
        <v>0.68</v>
      </c>
      <c r="AL12">
        <v>2175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0.57599999999999996</v>
      </c>
      <c r="C16" s="1">
        <f t="shared" ref="C16:C21" si="7">AVERAGE(J16,Q16,X16,AE16,AL16)</f>
        <v>8.5999999999999993E-2</v>
      </c>
      <c r="D16" s="1">
        <f t="shared" ref="D16:D21" si="8">AVERAGE(K16,R16,Y16,AF16,AM16)</f>
        <v>0.13600000000000001</v>
      </c>
      <c r="E16" s="1">
        <f t="shared" ref="E16:E21" si="9">AVERAGE(L16,S16,Z16,AG16,AN16)</f>
        <v>6.3999999999999987E-2</v>
      </c>
      <c r="F16" s="1">
        <f t="shared" ref="F16:F21" si="10">AVERAGE(M16,T16,AA16,AH16,AO16)</f>
        <v>1.4000000000000002E-2</v>
      </c>
      <c r="G16" s="1">
        <f t="shared" ref="G16:G20" si="11">AVERAGE(N16,U16,AB16,AI16,AP16)</f>
        <v>0.12999999999999998</v>
      </c>
      <c r="I16">
        <v>0.49</v>
      </c>
      <c r="J16">
        <v>0.06</v>
      </c>
      <c r="K16">
        <v>0.23</v>
      </c>
      <c r="L16">
        <v>0.02</v>
      </c>
      <c r="M16">
        <v>0.02</v>
      </c>
      <c r="N16">
        <v>0.18</v>
      </c>
      <c r="P16">
        <v>0.62</v>
      </c>
      <c r="Q16">
        <v>0.08</v>
      </c>
      <c r="R16">
        <v>0.2</v>
      </c>
      <c r="S16">
        <v>0.05</v>
      </c>
      <c r="T16">
        <v>0</v>
      </c>
      <c r="U16">
        <v>0.06</v>
      </c>
      <c r="W16">
        <v>0.53</v>
      </c>
      <c r="X16">
        <v>0.06</v>
      </c>
      <c r="Y16">
        <v>0.06</v>
      </c>
      <c r="Z16">
        <v>0.11</v>
      </c>
      <c r="AA16">
        <v>0.03</v>
      </c>
      <c r="AB16">
        <v>0.21</v>
      </c>
      <c r="AD16">
        <v>0.62</v>
      </c>
      <c r="AE16">
        <v>0.12</v>
      </c>
      <c r="AF16">
        <v>0.02</v>
      </c>
      <c r="AG16">
        <v>0.11</v>
      </c>
      <c r="AH16">
        <v>0.02</v>
      </c>
      <c r="AI16">
        <v>0.12</v>
      </c>
      <c r="AK16">
        <v>0.62</v>
      </c>
      <c r="AL16">
        <v>0.11</v>
      </c>
      <c r="AM16">
        <v>0.17</v>
      </c>
      <c r="AN16">
        <v>0.03</v>
      </c>
      <c r="AO16">
        <v>0</v>
      </c>
      <c r="AP16">
        <v>0.08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11">
        <f>AVERAGE(J17,Q17,X17,AE17,AL17)</f>
        <v>0.51400000000000001</v>
      </c>
      <c r="D17" s="1">
        <f t="shared" si="8"/>
        <v>0.36599999999999999</v>
      </c>
      <c r="E17" s="1">
        <f t="shared" si="9"/>
        <v>0.08</v>
      </c>
      <c r="F17" s="1">
        <f t="shared" si="10"/>
        <v>0</v>
      </c>
      <c r="G17" s="1">
        <f t="shared" si="11"/>
        <v>1.4000000000000002E-2</v>
      </c>
      <c r="I17">
        <v>7.0000000000000007E-2</v>
      </c>
      <c r="J17">
        <v>0.53</v>
      </c>
      <c r="K17">
        <v>0.27</v>
      </c>
      <c r="L17">
        <v>0.13</v>
      </c>
      <c r="M17">
        <v>0</v>
      </c>
      <c r="N17">
        <v>0</v>
      </c>
      <c r="P17">
        <v>0</v>
      </c>
      <c r="Q17">
        <v>0.44</v>
      </c>
      <c r="R17">
        <v>0.56000000000000005</v>
      </c>
      <c r="S17">
        <v>0</v>
      </c>
      <c r="T17">
        <v>0</v>
      </c>
      <c r="U17">
        <v>0</v>
      </c>
      <c r="W17">
        <v>7.0000000000000007E-2</v>
      </c>
      <c r="X17">
        <v>0.67</v>
      </c>
      <c r="Y17">
        <v>7.0000000000000007E-2</v>
      </c>
      <c r="Z17">
        <v>0.2</v>
      </c>
      <c r="AA17">
        <v>0</v>
      </c>
      <c r="AB17">
        <v>0</v>
      </c>
      <c r="AD17">
        <v>0</v>
      </c>
      <c r="AE17">
        <v>0.53</v>
      </c>
      <c r="AF17">
        <v>0.33</v>
      </c>
      <c r="AG17">
        <v>7.0000000000000007E-2</v>
      </c>
      <c r="AH17">
        <v>0</v>
      </c>
      <c r="AI17">
        <v>7.0000000000000007E-2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4.3999999999999997E-2</v>
      </c>
      <c r="C18" s="1">
        <f t="shared" si="7"/>
        <v>0.31799999999999995</v>
      </c>
      <c r="D18" s="11">
        <f>AVERAGE(K18,R18,Y18,AF18,AM18)</f>
        <v>0.52400000000000002</v>
      </c>
      <c r="E18" s="1">
        <f t="shared" si="9"/>
        <v>6.4000000000000001E-2</v>
      </c>
      <c r="F18" s="1">
        <f t="shared" si="10"/>
        <v>4.2000000000000003E-2</v>
      </c>
      <c r="G18" s="1">
        <f t="shared" si="11"/>
        <v>0.01</v>
      </c>
      <c r="I18">
        <v>0</v>
      </c>
      <c r="J18">
        <v>0.11</v>
      </c>
      <c r="K18">
        <v>0.83</v>
      </c>
      <c r="L18">
        <v>0.06</v>
      </c>
      <c r="M18">
        <v>0</v>
      </c>
      <c r="N18">
        <v>0</v>
      </c>
      <c r="P18">
        <v>0.11</v>
      </c>
      <c r="Q18">
        <v>0.26</v>
      </c>
      <c r="R18">
        <v>0.53</v>
      </c>
      <c r="S18">
        <v>0.05</v>
      </c>
      <c r="T18">
        <v>0</v>
      </c>
      <c r="U18">
        <v>0.05</v>
      </c>
      <c r="W18">
        <v>0</v>
      </c>
      <c r="X18">
        <v>0.53</v>
      </c>
      <c r="Y18">
        <v>0.26</v>
      </c>
      <c r="Z18">
        <v>0.05</v>
      </c>
      <c r="AA18">
        <v>0.16</v>
      </c>
      <c r="AB18">
        <v>0</v>
      </c>
      <c r="AD18">
        <v>0.11</v>
      </c>
      <c r="AE18">
        <v>0.32</v>
      </c>
      <c r="AF18">
        <v>0.47</v>
      </c>
      <c r="AG18">
        <v>0.11</v>
      </c>
      <c r="AH18">
        <v>0</v>
      </c>
      <c r="AI18">
        <v>0</v>
      </c>
      <c r="AK18">
        <v>0</v>
      </c>
      <c r="AL18">
        <v>0.37</v>
      </c>
      <c r="AM18">
        <v>0.53</v>
      </c>
      <c r="AN18">
        <v>0.05</v>
      </c>
      <c r="AO18">
        <v>0.05</v>
      </c>
      <c r="AP18">
        <v>0</v>
      </c>
    </row>
    <row r="19" spans="1:42" x14ac:dyDescent="0.25">
      <c r="A19" t="s">
        <v>3</v>
      </c>
      <c r="B19" s="1">
        <f t="shared" si="12"/>
        <v>2.8000000000000004E-2</v>
      </c>
      <c r="C19" s="1">
        <f t="shared" si="7"/>
        <v>0.16999999999999998</v>
      </c>
      <c r="D19" s="1">
        <f t="shared" si="8"/>
        <v>0.252</v>
      </c>
      <c r="E19" s="11">
        <f>AVERAGE(L19,S19,Z19,AG19,AN19)</f>
        <v>0.49199999999999999</v>
      </c>
      <c r="F19" s="1">
        <f t="shared" si="10"/>
        <v>1.2E-2</v>
      </c>
      <c r="G19" s="1">
        <f t="shared" si="11"/>
        <v>4.4000000000000004E-2</v>
      </c>
      <c r="I19">
        <v>0.02</v>
      </c>
      <c r="J19">
        <v>0.18</v>
      </c>
      <c r="K19">
        <v>0.43</v>
      </c>
      <c r="L19">
        <v>0.34</v>
      </c>
      <c r="M19">
        <v>0</v>
      </c>
      <c r="N19">
        <v>0.03</v>
      </c>
      <c r="P19">
        <v>0.02</v>
      </c>
      <c r="Q19">
        <v>0.11</v>
      </c>
      <c r="R19">
        <v>0.36</v>
      </c>
      <c r="S19">
        <v>0.47</v>
      </c>
      <c r="T19">
        <v>0.01</v>
      </c>
      <c r="U19">
        <v>0.03</v>
      </c>
      <c r="W19">
        <v>0.04</v>
      </c>
      <c r="X19">
        <v>0.15</v>
      </c>
      <c r="Y19">
        <v>0.11</v>
      </c>
      <c r="Z19">
        <v>0.59</v>
      </c>
      <c r="AA19">
        <v>0.02</v>
      </c>
      <c r="AB19">
        <v>0.08</v>
      </c>
      <c r="AD19">
        <v>0.03</v>
      </c>
      <c r="AE19">
        <v>0.28000000000000003</v>
      </c>
      <c r="AF19">
        <v>0.1</v>
      </c>
      <c r="AG19">
        <v>0.53</v>
      </c>
      <c r="AH19">
        <v>0.02</v>
      </c>
      <c r="AI19">
        <v>0.04</v>
      </c>
      <c r="AK19">
        <v>0.03</v>
      </c>
      <c r="AL19">
        <v>0.13</v>
      </c>
      <c r="AM19">
        <v>0.26</v>
      </c>
      <c r="AN19">
        <v>0.53</v>
      </c>
      <c r="AO19">
        <v>0.01</v>
      </c>
      <c r="AP19">
        <v>0.04</v>
      </c>
    </row>
    <row r="20" spans="1:42" x14ac:dyDescent="0.25">
      <c r="A20" t="s">
        <v>4</v>
      </c>
      <c r="B20" s="1">
        <f t="shared" si="12"/>
        <v>9.8000000000000004E-2</v>
      </c>
      <c r="C20" s="1">
        <f t="shared" si="7"/>
        <v>0.23199999999999998</v>
      </c>
      <c r="D20" s="1">
        <f t="shared" si="8"/>
        <v>0.31399999999999995</v>
      </c>
      <c r="E20" s="1">
        <f t="shared" si="9"/>
        <v>0.10599999999999998</v>
      </c>
      <c r="F20" s="11">
        <f>AVERAGE(M20,T20,AA20,AH20,AO20)</f>
        <v>0.04</v>
      </c>
      <c r="G20" s="1">
        <f t="shared" si="11"/>
        <v>0.21200000000000002</v>
      </c>
      <c r="I20">
        <v>0.08</v>
      </c>
      <c r="J20">
        <v>0.2</v>
      </c>
      <c r="K20">
        <v>0.48</v>
      </c>
      <c r="L20">
        <v>0.09</v>
      </c>
      <c r="M20">
        <v>0.02</v>
      </c>
      <c r="N20">
        <v>0.14000000000000001</v>
      </c>
      <c r="P20">
        <v>0.11</v>
      </c>
      <c r="Q20">
        <v>0.19</v>
      </c>
      <c r="R20">
        <v>0.48</v>
      </c>
      <c r="S20">
        <v>0.08</v>
      </c>
      <c r="T20">
        <v>0</v>
      </c>
      <c r="U20">
        <v>0.14000000000000001</v>
      </c>
      <c r="W20">
        <v>0.11</v>
      </c>
      <c r="X20">
        <v>0.22</v>
      </c>
      <c r="Y20">
        <v>0.15</v>
      </c>
      <c r="Z20">
        <v>0.17</v>
      </c>
      <c r="AA20">
        <v>0.06</v>
      </c>
      <c r="AB20">
        <v>0.28999999999999998</v>
      </c>
      <c r="AD20">
        <v>0.11</v>
      </c>
      <c r="AE20">
        <v>0.38</v>
      </c>
      <c r="AF20">
        <v>0.13</v>
      </c>
      <c r="AG20">
        <v>0.11</v>
      </c>
      <c r="AH20">
        <v>0.08</v>
      </c>
      <c r="AI20">
        <v>0.19</v>
      </c>
      <c r="AK20">
        <v>0.08</v>
      </c>
      <c r="AL20">
        <v>0.17</v>
      </c>
      <c r="AM20">
        <v>0.33</v>
      </c>
      <c r="AN20">
        <v>0.08</v>
      </c>
      <c r="AO20">
        <v>0.04</v>
      </c>
      <c r="AP20">
        <v>0.3</v>
      </c>
    </row>
    <row r="21" spans="1:42" x14ac:dyDescent="0.25">
      <c r="A21" t="s">
        <v>5</v>
      </c>
      <c r="B21" s="1">
        <f t="shared" si="12"/>
        <v>0.13599999999999998</v>
      </c>
      <c r="C21" s="1">
        <f t="shared" si="7"/>
        <v>9.4E-2</v>
      </c>
      <c r="D21" s="1">
        <f t="shared" si="8"/>
        <v>0.23799999999999999</v>
      </c>
      <c r="E21" s="1">
        <f t="shared" si="9"/>
        <v>4.3999999999999997E-2</v>
      </c>
      <c r="F21" s="1">
        <f t="shared" si="10"/>
        <v>2.8000000000000004E-2</v>
      </c>
      <c r="G21" s="11">
        <f>AVERAGE(N21,U21,AB21,AI21,AP21)</f>
        <v>0.46400000000000008</v>
      </c>
      <c r="I21">
        <v>0.03</v>
      </c>
      <c r="J21">
        <v>0.1</v>
      </c>
      <c r="K21">
        <v>0.37</v>
      </c>
      <c r="L21">
        <v>0.02</v>
      </c>
      <c r="M21">
        <v>0</v>
      </c>
      <c r="N21">
        <v>0.48</v>
      </c>
      <c r="P21">
        <v>0.13</v>
      </c>
      <c r="Q21">
        <v>0</v>
      </c>
      <c r="R21">
        <v>0.39</v>
      </c>
      <c r="S21">
        <v>0.1</v>
      </c>
      <c r="T21">
        <v>0</v>
      </c>
      <c r="U21">
        <v>0.38</v>
      </c>
      <c r="W21">
        <v>0.2</v>
      </c>
      <c r="X21">
        <v>0.13</v>
      </c>
      <c r="Y21">
        <v>0.11</v>
      </c>
      <c r="Z21">
        <v>0.05</v>
      </c>
      <c r="AA21">
        <v>7.0000000000000007E-2</v>
      </c>
      <c r="AB21">
        <v>0.44</v>
      </c>
      <c r="AD21">
        <v>0.22</v>
      </c>
      <c r="AE21">
        <v>0.12</v>
      </c>
      <c r="AF21">
        <v>0.1</v>
      </c>
      <c r="AG21">
        <v>0.02</v>
      </c>
      <c r="AH21">
        <v>0.05</v>
      </c>
      <c r="AI21">
        <v>0.5</v>
      </c>
      <c r="AK21">
        <v>0.1</v>
      </c>
      <c r="AL21">
        <v>0.12</v>
      </c>
      <c r="AM21">
        <v>0.22</v>
      </c>
      <c r="AN21">
        <v>0.03</v>
      </c>
      <c r="AO21">
        <v>0.02</v>
      </c>
      <c r="AP21">
        <v>0.52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0.438</v>
      </c>
      <c r="C23" s="1"/>
      <c r="D23" s="1"/>
      <c r="E23" s="1"/>
      <c r="F23" s="1"/>
      <c r="G23" s="1"/>
      <c r="I23">
        <v>0.45</v>
      </c>
      <c r="J23">
        <v>541</v>
      </c>
      <c r="P23">
        <v>0.41</v>
      </c>
      <c r="Q23">
        <v>546</v>
      </c>
      <c r="W23">
        <v>0.43</v>
      </c>
      <c r="X23">
        <v>545</v>
      </c>
      <c r="AD23">
        <v>0.46</v>
      </c>
      <c r="AE23">
        <v>543</v>
      </c>
      <c r="AK23">
        <v>0.44</v>
      </c>
      <c r="AL23">
        <v>543</v>
      </c>
    </row>
    <row r="25" spans="1:42" x14ac:dyDescent="0.25">
      <c r="B25" t="s">
        <v>21</v>
      </c>
    </row>
    <row r="28" spans="1:42" x14ac:dyDescent="0.25">
      <c r="B28" t="s">
        <v>0</v>
      </c>
      <c r="C28" t="s">
        <v>2</v>
      </c>
      <c r="D28" t="s">
        <v>1</v>
      </c>
      <c r="E28" t="s">
        <v>3</v>
      </c>
      <c r="F28" t="s">
        <v>4</v>
      </c>
      <c r="G28" t="s">
        <v>5</v>
      </c>
    </row>
    <row r="29" spans="1:42" x14ac:dyDescent="0.25">
      <c r="A29" t="s">
        <v>0</v>
      </c>
      <c r="B29" s="4">
        <f t="shared" ref="B29:G34" si="13">AVERAGE(I29,P29,W29,AD29,AK29)</f>
        <v>0.79600000000000004</v>
      </c>
      <c r="C29" s="1">
        <f t="shared" si="13"/>
        <v>7.5999999999999998E-2</v>
      </c>
      <c r="D29" s="1">
        <f t="shared" si="13"/>
        <v>6.0000000000000012E-2</v>
      </c>
      <c r="E29" s="1">
        <f t="shared" si="13"/>
        <v>1.2E-2</v>
      </c>
      <c r="F29" s="1">
        <f t="shared" si="13"/>
        <v>0</v>
      </c>
      <c r="G29" s="1">
        <f t="shared" si="13"/>
        <v>5.800000000000001E-2</v>
      </c>
      <c r="I29">
        <v>0.82</v>
      </c>
      <c r="J29">
        <v>0.04</v>
      </c>
      <c r="K29">
        <v>0.06</v>
      </c>
      <c r="L29">
        <v>0.02</v>
      </c>
      <c r="M29">
        <v>0</v>
      </c>
      <c r="N29">
        <v>0.06</v>
      </c>
      <c r="P29">
        <v>0.74</v>
      </c>
      <c r="Q29">
        <v>0.09</v>
      </c>
      <c r="R29">
        <v>0.1</v>
      </c>
      <c r="S29">
        <v>0.01</v>
      </c>
      <c r="T29">
        <v>0</v>
      </c>
      <c r="U29">
        <v>0.06</v>
      </c>
      <c r="W29">
        <v>0.81</v>
      </c>
      <c r="X29">
        <v>0.08</v>
      </c>
      <c r="Y29">
        <v>0.04</v>
      </c>
      <c r="Z29">
        <v>0.01</v>
      </c>
      <c r="AA29">
        <v>0</v>
      </c>
      <c r="AB29">
        <v>0.06</v>
      </c>
      <c r="AD29">
        <v>0.81</v>
      </c>
      <c r="AE29">
        <v>0.08</v>
      </c>
      <c r="AF29">
        <v>7.0000000000000007E-2</v>
      </c>
      <c r="AG29">
        <v>0</v>
      </c>
      <c r="AH29">
        <v>0</v>
      </c>
      <c r="AI29">
        <v>0.04</v>
      </c>
      <c r="AK29">
        <v>0.8</v>
      </c>
      <c r="AL29">
        <v>0.09</v>
      </c>
      <c r="AM29">
        <v>0.03</v>
      </c>
      <c r="AN29">
        <v>0.02</v>
      </c>
      <c r="AO29">
        <v>0</v>
      </c>
      <c r="AP29">
        <v>7.0000000000000007E-2</v>
      </c>
    </row>
    <row r="30" spans="1:42" x14ac:dyDescent="0.25">
      <c r="A30" t="s">
        <v>2</v>
      </c>
      <c r="B30" s="1">
        <f t="shared" si="13"/>
        <v>0</v>
      </c>
      <c r="C30" s="4">
        <f t="shared" si="13"/>
        <v>0.98399999999999999</v>
      </c>
      <c r="D30" s="1">
        <f t="shared" si="13"/>
        <v>1.6E-2</v>
      </c>
      <c r="E30" s="1">
        <f t="shared" si="13"/>
        <v>0</v>
      </c>
      <c r="F30" s="1">
        <f t="shared" si="13"/>
        <v>0</v>
      </c>
      <c r="G30" s="1">
        <f t="shared" si="13"/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W30">
        <v>0</v>
      </c>
      <c r="X30">
        <v>0.98</v>
      </c>
      <c r="Y30">
        <v>0.02</v>
      </c>
      <c r="Z30">
        <v>0</v>
      </c>
      <c r="AA30">
        <v>0</v>
      </c>
      <c r="AB30">
        <v>0</v>
      </c>
      <c r="AD30">
        <v>0</v>
      </c>
      <c r="AE30">
        <v>0.96</v>
      </c>
      <c r="AF30">
        <v>0.04</v>
      </c>
      <c r="AG30">
        <v>0</v>
      </c>
      <c r="AH30">
        <v>0</v>
      </c>
      <c r="AI30">
        <v>0</v>
      </c>
      <c r="AK30">
        <v>0</v>
      </c>
      <c r="AL30">
        <v>0.98</v>
      </c>
      <c r="AM30">
        <v>0.02</v>
      </c>
      <c r="AN30">
        <v>0</v>
      </c>
      <c r="AO30">
        <v>0</v>
      </c>
      <c r="AP30">
        <v>0</v>
      </c>
    </row>
    <row r="31" spans="1:42" x14ac:dyDescent="0.25">
      <c r="A31" t="s">
        <v>1</v>
      </c>
      <c r="B31" s="1">
        <f t="shared" si="13"/>
        <v>0</v>
      </c>
      <c r="C31" s="1">
        <f t="shared" si="13"/>
        <v>3.4000000000000002E-2</v>
      </c>
      <c r="D31" s="4">
        <f t="shared" si="13"/>
        <v>0.96599999999999997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W31">
        <v>0</v>
      </c>
      <c r="X31">
        <v>0.1</v>
      </c>
      <c r="Y31">
        <v>0.9</v>
      </c>
      <c r="Z31">
        <v>0</v>
      </c>
      <c r="AA31">
        <v>0</v>
      </c>
      <c r="AB31">
        <v>0</v>
      </c>
      <c r="AD31">
        <v>0</v>
      </c>
      <c r="AE31">
        <v>0.06</v>
      </c>
      <c r="AF31">
        <v>0.94</v>
      </c>
      <c r="AG31">
        <v>0</v>
      </c>
      <c r="AH31">
        <v>0</v>
      </c>
      <c r="AI31">
        <v>0</v>
      </c>
      <c r="AK31">
        <v>0</v>
      </c>
      <c r="AL31">
        <v>0.01</v>
      </c>
      <c r="AM31">
        <v>0.99</v>
      </c>
      <c r="AN31">
        <v>0</v>
      </c>
      <c r="AO31">
        <v>0</v>
      </c>
      <c r="AP31">
        <v>0</v>
      </c>
    </row>
    <row r="32" spans="1:42" x14ac:dyDescent="0.25">
      <c r="A32" t="s">
        <v>3</v>
      </c>
      <c r="B32" s="1">
        <f t="shared" si="13"/>
        <v>0.02</v>
      </c>
      <c r="C32" s="1">
        <f t="shared" si="13"/>
        <v>0.21000000000000002</v>
      </c>
      <c r="D32" s="1">
        <f t="shared" si="13"/>
        <v>0.16999999999999998</v>
      </c>
      <c r="E32" s="4">
        <f t="shared" si="13"/>
        <v>0.56399999999999995</v>
      </c>
      <c r="F32" s="1">
        <f t="shared" si="13"/>
        <v>8.0000000000000002E-3</v>
      </c>
      <c r="G32" s="1">
        <f t="shared" si="13"/>
        <v>3.2000000000000001E-2</v>
      </c>
      <c r="I32">
        <v>0.02</v>
      </c>
      <c r="J32">
        <v>0.1</v>
      </c>
      <c r="K32">
        <v>0.16</v>
      </c>
      <c r="L32">
        <v>0.66</v>
      </c>
      <c r="M32">
        <v>0.02</v>
      </c>
      <c r="N32">
        <v>0.05</v>
      </c>
      <c r="P32">
        <v>0.02</v>
      </c>
      <c r="Q32">
        <v>0.22</v>
      </c>
      <c r="R32">
        <v>0.21</v>
      </c>
      <c r="S32">
        <v>0.53</v>
      </c>
      <c r="T32">
        <v>0</v>
      </c>
      <c r="U32">
        <v>0.03</v>
      </c>
      <c r="W32">
        <v>0.02</v>
      </c>
      <c r="X32">
        <v>0.26</v>
      </c>
      <c r="Y32">
        <v>0.12</v>
      </c>
      <c r="Z32">
        <v>0.56999999999999995</v>
      </c>
      <c r="AA32">
        <v>0.01</v>
      </c>
      <c r="AB32">
        <v>0.03</v>
      </c>
      <c r="AD32">
        <v>0.02</v>
      </c>
      <c r="AE32">
        <v>0.27</v>
      </c>
      <c r="AF32">
        <v>0.22</v>
      </c>
      <c r="AG32">
        <v>0.45</v>
      </c>
      <c r="AH32">
        <v>0</v>
      </c>
      <c r="AI32">
        <v>0.03</v>
      </c>
      <c r="AK32">
        <v>0.02</v>
      </c>
      <c r="AL32">
        <v>0.2</v>
      </c>
      <c r="AM32">
        <v>0.14000000000000001</v>
      </c>
      <c r="AN32">
        <v>0.61</v>
      </c>
      <c r="AO32">
        <v>0.01</v>
      </c>
      <c r="AP32">
        <v>0.02</v>
      </c>
    </row>
    <row r="33" spans="1:42" x14ac:dyDescent="0.25">
      <c r="A33" t="s">
        <v>4</v>
      </c>
      <c r="B33" s="1">
        <f t="shared" si="13"/>
        <v>8.6000000000000007E-2</v>
      </c>
      <c r="C33" s="1">
        <f t="shared" si="13"/>
        <v>0.29200000000000004</v>
      </c>
      <c r="D33" s="1">
        <f t="shared" si="13"/>
        <v>0.28600000000000003</v>
      </c>
      <c r="E33" s="1">
        <f t="shared" si="13"/>
        <v>9.1999999999999998E-2</v>
      </c>
      <c r="F33" s="4">
        <f t="shared" si="13"/>
        <v>9.4E-2</v>
      </c>
      <c r="G33" s="1">
        <f t="shared" si="13"/>
        <v>0.14599999999999999</v>
      </c>
      <c r="I33">
        <v>0.12</v>
      </c>
      <c r="J33">
        <v>0.11</v>
      </c>
      <c r="K33">
        <v>0.24</v>
      </c>
      <c r="L33">
        <v>0.12</v>
      </c>
      <c r="M33">
        <v>0.22</v>
      </c>
      <c r="N33">
        <v>0.19</v>
      </c>
      <c r="P33">
        <v>0.06</v>
      </c>
      <c r="Q33">
        <v>0.31</v>
      </c>
      <c r="R33">
        <v>0.39</v>
      </c>
      <c r="S33">
        <v>0.08</v>
      </c>
      <c r="T33">
        <v>0.06</v>
      </c>
      <c r="U33">
        <v>0.11</v>
      </c>
      <c r="W33">
        <v>0.08</v>
      </c>
      <c r="X33">
        <v>0.35</v>
      </c>
      <c r="Y33">
        <v>0.19</v>
      </c>
      <c r="Z33">
        <v>0.11</v>
      </c>
      <c r="AA33">
        <v>0.09</v>
      </c>
      <c r="AB33">
        <v>0.16</v>
      </c>
      <c r="AD33">
        <v>7.0000000000000007E-2</v>
      </c>
      <c r="AE33">
        <v>0.39</v>
      </c>
      <c r="AF33">
        <v>0.33</v>
      </c>
      <c r="AG33">
        <v>0.05</v>
      </c>
      <c r="AH33">
        <v>0.03</v>
      </c>
      <c r="AI33">
        <v>0.12</v>
      </c>
      <c r="AK33">
        <v>0.1</v>
      </c>
      <c r="AL33">
        <v>0.3</v>
      </c>
      <c r="AM33">
        <v>0.28000000000000003</v>
      </c>
      <c r="AN33">
        <v>0.1</v>
      </c>
      <c r="AO33">
        <v>7.0000000000000007E-2</v>
      </c>
      <c r="AP33">
        <v>0.15</v>
      </c>
    </row>
    <row r="34" spans="1:42" x14ac:dyDescent="0.25">
      <c r="A34" t="s">
        <v>5</v>
      </c>
      <c r="B34" s="1">
        <f t="shared" si="13"/>
        <v>3.4000000000000002E-2</v>
      </c>
      <c r="C34" s="1">
        <f t="shared" si="13"/>
        <v>0.10400000000000001</v>
      </c>
      <c r="D34" s="1">
        <f t="shared" si="13"/>
        <v>0.10999999999999999</v>
      </c>
      <c r="E34" s="1">
        <f t="shared" si="13"/>
        <v>0.01</v>
      </c>
      <c r="F34" s="1">
        <f t="shared" si="13"/>
        <v>6.0000000000000001E-3</v>
      </c>
      <c r="G34" s="4">
        <f t="shared" si="13"/>
        <v>0.73199999999999998</v>
      </c>
      <c r="I34">
        <v>0.04</v>
      </c>
      <c r="J34">
        <v>0.04</v>
      </c>
      <c r="K34">
        <v>0.08</v>
      </c>
      <c r="L34">
        <v>0.02</v>
      </c>
      <c r="M34">
        <v>0.02</v>
      </c>
      <c r="N34">
        <v>0.81</v>
      </c>
      <c r="P34">
        <v>0.03</v>
      </c>
      <c r="Q34">
        <v>0.12</v>
      </c>
      <c r="R34">
        <v>0.15</v>
      </c>
      <c r="S34">
        <v>0.01</v>
      </c>
      <c r="T34">
        <v>0.01</v>
      </c>
      <c r="U34">
        <v>0.68</v>
      </c>
      <c r="W34">
        <v>0.04</v>
      </c>
      <c r="X34">
        <v>0.09</v>
      </c>
      <c r="Y34">
        <v>0.09</v>
      </c>
      <c r="Z34">
        <v>0</v>
      </c>
      <c r="AA34">
        <v>0</v>
      </c>
      <c r="AB34">
        <v>0.77</v>
      </c>
      <c r="AD34">
        <v>0.03</v>
      </c>
      <c r="AE34">
        <v>0.16</v>
      </c>
      <c r="AF34">
        <v>0.13</v>
      </c>
      <c r="AG34">
        <v>0</v>
      </c>
      <c r="AH34">
        <v>0</v>
      </c>
      <c r="AI34">
        <v>0.67</v>
      </c>
      <c r="AK34">
        <v>0.03</v>
      </c>
      <c r="AL34">
        <v>0.11</v>
      </c>
      <c r="AM34">
        <v>0.1</v>
      </c>
      <c r="AN34">
        <v>0.02</v>
      </c>
      <c r="AO34">
        <v>0</v>
      </c>
      <c r="AP34">
        <v>0.73</v>
      </c>
    </row>
    <row r="35" spans="1:42" x14ac:dyDescent="0.25">
      <c r="B35" s="1"/>
      <c r="C35" s="1"/>
      <c r="D35" s="1"/>
      <c r="E35" s="1"/>
      <c r="F35" s="1"/>
      <c r="G35" s="1"/>
    </row>
    <row r="36" spans="1:42" x14ac:dyDescent="0.25">
      <c r="B36" s="4">
        <f>AVERAGE(I36,P36,W36,AD36,AK36)</f>
        <v>0.69000000000000006</v>
      </c>
      <c r="C36" s="1"/>
      <c r="D36" s="1"/>
      <c r="E36" s="1"/>
      <c r="F36" s="1"/>
      <c r="G36" s="1"/>
      <c r="I36">
        <v>0.75</v>
      </c>
      <c r="P36">
        <v>0.67</v>
      </c>
      <c r="W36">
        <v>0.69</v>
      </c>
      <c r="AD36">
        <v>0.64</v>
      </c>
      <c r="AK36">
        <v>0.7</v>
      </c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t="s">
        <v>0</v>
      </c>
      <c r="C39" t="s">
        <v>2</v>
      </c>
      <c r="D39" t="s">
        <v>1</v>
      </c>
      <c r="E39" t="s">
        <v>3</v>
      </c>
      <c r="F39" t="s">
        <v>4</v>
      </c>
      <c r="G39" t="s">
        <v>5</v>
      </c>
    </row>
    <row r="40" spans="1:42" x14ac:dyDescent="0.25">
      <c r="A40" t="s">
        <v>0</v>
      </c>
      <c r="B40" s="4">
        <f t="shared" ref="B40:G45" si="14">AVERAGE(I40,P40,W40,AD40,AK40)</f>
        <v>0.61799999999999999</v>
      </c>
      <c r="C40" s="1">
        <f t="shared" si="14"/>
        <v>8.199999999999999E-2</v>
      </c>
      <c r="D40" s="1">
        <f t="shared" si="14"/>
        <v>0.11200000000000002</v>
      </c>
      <c r="E40" s="1">
        <f t="shared" si="14"/>
        <v>4.3999999999999997E-2</v>
      </c>
      <c r="F40" s="1">
        <f t="shared" si="14"/>
        <v>1.4000000000000002E-2</v>
      </c>
      <c r="G40" s="1">
        <f t="shared" si="14"/>
        <v>0.13599999999999998</v>
      </c>
      <c r="I40">
        <v>0.6</v>
      </c>
      <c r="J40">
        <v>0.03</v>
      </c>
      <c r="K40">
        <v>0.03</v>
      </c>
      <c r="L40">
        <v>0.1</v>
      </c>
      <c r="M40">
        <v>0.03</v>
      </c>
      <c r="N40">
        <v>0.21</v>
      </c>
      <c r="P40">
        <v>0.57999999999999996</v>
      </c>
      <c r="Q40">
        <v>0.09</v>
      </c>
      <c r="R40">
        <v>0.14000000000000001</v>
      </c>
      <c r="S40">
        <v>0.03</v>
      </c>
      <c r="T40">
        <v>0.02</v>
      </c>
      <c r="U40">
        <v>0.15</v>
      </c>
      <c r="W40">
        <v>0.62</v>
      </c>
      <c r="X40">
        <v>0.02</v>
      </c>
      <c r="Y40">
        <v>0.15</v>
      </c>
      <c r="Z40">
        <v>0.02</v>
      </c>
      <c r="AA40">
        <v>0.02</v>
      </c>
      <c r="AB40">
        <v>0.18</v>
      </c>
      <c r="AD40">
        <v>0.57999999999999996</v>
      </c>
      <c r="AE40">
        <v>0.18</v>
      </c>
      <c r="AF40">
        <v>0.12</v>
      </c>
      <c r="AG40">
        <v>0.04</v>
      </c>
      <c r="AH40">
        <v>0</v>
      </c>
      <c r="AI40">
        <v>0.08</v>
      </c>
      <c r="AK40">
        <v>0.71</v>
      </c>
      <c r="AL40">
        <v>0.09</v>
      </c>
      <c r="AM40">
        <v>0.12</v>
      </c>
      <c r="AN40">
        <v>0.03</v>
      </c>
      <c r="AO40">
        <v>0</v>
      </c>
      <c r="AP40">
        <v>0.06</v>
      </c>
    </row>
    <row r="41" spans="1:42" x14ac:dyDescent="0.25">
      <c r="A41" t="s">
        <v>2</v>
      </c>
      <c r="B41" s="1">
        <f t="shared" si="14"/>
        <v>0.01</v>
      </c>
      <c r="C41" s="4">
        <f t="shared" si="14"/>
        <v>0.46800000000000008</v>
      </c>
      <c r="D41" s="1">
        <f t="shared" si="14"/>
        <v>0.41</v>
      </c>
      <c r="E41" s="1">
        <f t="shared" si="14"/>
        <v>0.10200000000000001</v>
      </c>
      <c r="F41" s="1">
        <f t="shared" si="14"/>
        <v>0</v>
      </c>
      <c r="G41" s="1">
        <f t="shared" si="14"/>
        <v>1.2E-2</v>
      </c>
      <c r="I41">
        <v>0</v>
      </c>
      <c r="J41">
        <v>0.53</v>
      </c>
      <c r="K41">
        <v>0.28999999999999998</v>
      </c>
      <c r="L41">
        <v>0.12</v>
      </c>
      <c r="M41">
        <v>0</v>
      </c>
      <c r="N41">
        <v>0.06</v>
      </c>
      <c r="P41">
        <v>0</v>
      </c>
      <c r="Q41">
        <v>0.47</v>
      </c>
      <c r="R41">
        <v>0.37</v>
      </c>
      <c r="S41">
        <v>0.16</v>
      </c>
      <c r="T41">
        <v>0</v>
      </c>
      <c r="U41">
        <v>0</v>
      </c>
      <c r="W41">
        <v>0</v>
      </c>
      <c r="X41">
        <v>0.64</v>
      </c>
      <c r="Y41">
        <v>0.27</v>
      </c>
      <c r="Z41">
        <v>0.09</v>
      </c>
      <c r="AA41">
        <v>0</v>
      </c>
      <c r="AB41">
        <v>0</v>
      </c>
      <c r="AD41">
        <v>0</v>
      </c>
      <c r="AE41">
        <v>0.28999999999999998</v>
      </c>
      <c r="AF41">
        <v>0.56999999999999995</v>
      </c>
      <c r="AG41">
        <v>0.14000000000000001</v>
      </c>
      <c r="AH41">
        <v>0</v>
      </c>
      <c r="AI41">
        <v>0</v>
      </c>
      <c r="AK41">
        <v>0.05</v>
      </c>
      <c r="AL41">
        <v>0.41</v>
      </c>
      <c r="AM41">
        <v>0.55000000000000004</v>
      </c>
      <c r="AN41">
        <v>0</v>
      </c>
      <c r="AO41">
        <v>0</v>
      </c>
      <c r="AP41">
        <v>0</v>
      </c>
    </row>
    <row r="42" spans="1:42" x14ac:dyDescent="0.25">
      <c r="A42" t="s">
        <v>1</v>
      </c>
      <c r="B42" s="1">
        <f t="shared" si="14"/>
        <v>3.0000000000000006E-2</v>
      </c>
      <c r="C42" s="1">
        <f t="shared" si="14"/>
        <v>0.376</v>
      </c>
      <c r="D42" s="4">
        <f t="shared" si="14"/>
        <v>0.46200000000000002</v>
      </c>
      <c r="E42" s="1">
        <f t="shared" si="14"/>
        <v>0.10800000000000001</v>
      </c>
      <c r="F42" s="1">
        <f t="shared" si="14"/>
        <v>0</v>
      </c>
      <c r="G42" s="1">
        <f t="shared" si="14"/>
        <v>2.4E-2</v>
      </c>
      <c r="I42">
        <v>0.04</v>
      </c>
      <c r="J42">
        <v>0.26</v>
      </c>
      <c r="K42">
        <v>0.43</v>
      </c>
      <c r="L42">
        <v>0.22</v>
      </c>
      <c r="M42">
        <v>0</v>
      </c>
      <c r="N42">
        <v>0.04</v>
      </c>
      <c r="P42">
        <v>0.04</v>
      </c>
      <c r="Q42">
        <v>0.56000000000000005</v>
      </c>
      <c r="R42">
        <v>0.36</v>
      </c>
      <c r="S42">
        <v>0.04</v>
      </c>
      <c r="T42">
        <v>0</v>
      </c>
      <c r="U42">
        <v>0</v>
      </c>
      <c r="W42">
        <v>0</v>
      </c>
      <c r="X42">
        <v>0.57999999999999996</v>
      </c>
      <c r="Y42">
        <v>0.17</v>
      </c>
      <c r="Z42">
        <v>0.17</v>
      </c>
      <c r="AA42">
        <v>0</v>
      </c>
      <c r="AB42">
        <v>0.08</v>
      </c>
      <c r="AD42">
        <v>7.0000000000000007E-2</v>
      </c>
      <c r="AE42">
        <v>0.27</v>
      </c>
      <c r="AF42">
        <v>0.67</v>
      </c>
      <c r="AG42">
        <v>0</v>
      </c>
      <c r="AH42">
        <v>0</v>
      </c>
      <c r="AI42">
        <v>0</v>
      </c>
      <c r="AK42">
        <v>0</v>
      </c>
      <c r="AL42">
        <v>0.21</v>
      </c>
      <c r="AM42">
        <v>0.68</v>
      </c>
      <c r="AN42">
        <v>0.11</v>
      </c>
      <c r="AO42">
        <v>0</v>
      </c>
      <c r="AP42">
        <v>0</v>
      </c>
    </row>
    <row r="43" spans="1:42" x14ac:dyDescent="0.25">
      <c r="A43" t="s">
        <v>3</v>
      </c>
      <c r="B43" s="1">
        <f t="shared" si="14"/>
        <v>3.4000000000000002E-2</v>
      </c>
      <c r="C43" s="1">
        <f t="shared" si="14"/>
        <v>0.23399999999999999</v>
      </c>
      <c r="D43" s="1">
        <f t="shared" si="14"/>
        <v>0.19600000000000001</v>
      </c>
      <c r="E43" s="4">
        <f t="shared" si="14"/>
        <v>0.48799999999999999</v>
      </c>
      <c r="F43" s="1">
        <f t="shared" si="14"/>
        <v>8.0000000000000002E-3</v>
      </c>
      <c r="G43" s="1">
        <f t="shared" si="14"/>
        <v>3.6000000000000004E-2</v>
      </c>
      <c r="I43">
        <v>0.05</v>
      </c>
      <c r="J43">
        <v>0.16</v>
      </c>
      <c r="K43">
        <v>0.17</v>
      </c>
      <c r="L43">
        <v>0.55000000000000004</v>
      </c>
      <c r="M43">
        <v>0.03</v>
      </c>
      <c r="N43">
        <v>0.05</v>
      </c>
      <c r="P43">
        <v>0.04</v>
      </c>
      <c r="Q43">
        <v>0.21</v>
      </c>
      <c r="R43">
        <v>0.26</v>
      </c>
      <c r="S43">
        <v>0.45</v>
      </c>
      <c r="T43">
        <v>0.01</v>
      </c>
      <c r="U43">
        <v>0.02</v>
      </c>
      <c r="W43">
        <v>0.02</v>
      </c>
      <c r="X43">
        <v>0.28000000000000003</v>
      </c>
      <c r="Y43">
        <v>0.16</v>
      </c>
      <c r="Z43">
        <v>0.49</v>
      </c>
      <c r="AA43">
        <v>0</v>
      </c>
      <c r="AB43">
        <v>0.04</v>
      </c>
      <c r="AD43">
        <v>0.02</v>
      </c>
      <c r="AE43">
        <v>0.33</v>
      </c>
      <c r="AF43">
        <v>0.24</v>
      </c>
      <c r="AG43">
        <v>0.38</v>
      </c>
      <c r="AH43">
        <v>0</v>
      </c>
      <c r="AI43">
        <v>0.03</v>
      </c>
      <c r="AK43">
        <v>0.04</v>
      </c>
      <c r="AL43">
        <v>0.19</v>
      </c>
      <c r="AM43">
        <v>0.15</v>
      </c>
      <c r="AN43">
        <v>0.56999999999999995</v>
      </c>
      <c r="AO43">
        <v>0</v>
      </c>
      <c r="AP43">
        <v>0.04</v>
      </c>
    </row>
    <row r="44" spans="1:42" x14ac:dyDescent="0.25">
      <c r="A44" t="s">
        <v>4</v>
      </c>
      <c r="B44" s="1">
        <f t="shared" si="14"/>
        <v>0.10600000000000001</v>
      </c>
      <c r="C44" s="1">
        <f t="shared" si="14"/>
        <v>0.252</v>
      </c>
      <c r="D44" s="1">
        <f t="shared" si="14"/>
        <v>0.28799999999999998</v>
      </c>
      <c r="E44" s="1">
        <f t="shared" si="14"/>
        <v>0.126</v>
      </c>
      <c r="F44" s="4">
        <f t="shared" si="14"/>
        <v>3.2000000000000001E-2</v>
      </c>
      <c r="G44" s="1">
        <f t="shared" si="14"/>
        <v>0.19800000000000001</v>
      </c>
      <c r="I44">
        <v>0.17</v>
      </c>
      <c r="J44">
        <v>0.2</v>
      </c>
      <c r="K44">
        <v>0.21</v>
      </c>
      <c r="L44">
        <v>0.17</v>
      </c>
      <c r="M44">
        <v>0.05</v>
      </c>
      <c r="N44">
        <v>0.2</v>
      </c>
      <c r="P44">
        <v>0.05</v>
      </c>
      <c r="Q44">
        <v>0.28000000000000003</v>
      </c>
      <c r="R44">
        <v>0.37</v>
      </c>
      <c r="S44">
        <v>0.08</v>
      </c>
      <c r="T44">
        <v>0.02</v>
      </c>
      <c r="U44">
        <v>0.19</v>
      </c>
      <c r="W44">
        <v>0.1</v>
      </c>
      <c r="X44">
        <v>0.28999999999999998</v>
      </c>
      <c r="Y44">
        <v>0.23</v>
      </c>
      <c r="Z44">
        <v>0.15</v>
      </c>
      <c r="AA44">
        <v>0.03</v>
      </c>
      <c r="AB44">
        <v>0.2</v>
      </c>
      <c r="AD44">
        <v>0.14000000000000001</v>
      </c>
      <c r="AE44">
        <v>0.23</v>
      </c>
      <c r="AF44">
        <v>0.35</v>
      </c>
      <c r="AG44">
        <v>0.1</v>
      </c>
      <c r="AH44">
        <v>0.02</v>
      </c>
      <c r="AI44">
        <v>0.18</v>
      </c>
      <c r="AK44">
        <v>7.0000000000000007E-2</v>
      </c>
      <c r="AL44">
        <v>0.26</v>
      </c>
      <c r="AM44">
        <v>0.28000000000000003</v>
      </c>
      <c r="AN44">
        <v>0.13</v>
      </c>
      <c r="AO44">
        <v>0.04</v>
      </c>
      <c r="AP44">
        <v>0.22</v>
      </c>
    </row>
    <row r="45" spans="1:42" x14ac:dyDescent="0.25">
      <c r="A45" t="s">
        <v>5</v>
      </c>
      <c r="B45" s="1">
        <f t="shared" si="14"/>
        <v>0.124</v>
      </c>
      <c r="C45" s="1">
        <f t="shared" si="14"/>
        <v>0.158</v>
      </c>
      <c r="D45" s="1">
        <f t="shared" si="14"/>
        <v>0.17599999999999999</v>
      </c>
      <c r="E45" s="1">
        <f t="shared" si="14"/>
        <v>5.800000000000001E-2</v>
      </c>
      <c r="F45" s="1">
        <f t="shared" si="14"/>
        <v>2.6000000000000002E-2</v>
      </c>
      <c r="G45" s="4">
        <f t="shared" si="14"/>
        <v>0.45999999999999996</v>
      </c>
      <c r="I45">
        <v>0.2</v>
      </c>
      <c r="J45">
        <v>0.04</v>
      </c>
      <c r="K45">
        <v>0.09</v>
      </c>
      <c r="L45">
        <v>0.09</v>
      </c>
      <c r="M45">
        <v>7.0000000000000007E-2</v>
      </c>
      <c r="N45">
        <v>0.51</v>
      </c>
      <c r="P45">
        <v>0.09</v>
      </c>
      <c r="Q45">
        <v>0.12</v>
      </c>
      <c r="R45">
        <v>0.24</v>
      </c>
      <c r="S45">
        <v>0.01</v>
      </c>
      <c r="T45">
        <v>0.01</v>
      </c>
      <c r="U45">
        <v>0.53</v>
      </c>
      <c r="W45">
        <v>0.1</v>
      </c>
      <c r="X45">
        <v>0.16</v>
      </c>
      <c r="Y45">
        <v>0.18</v>
      </c>
      <c r="Z45">
        <v>0.1</v>
      </c>
      <c r="AA45">
        <v>0.04</v>
      </c>
      <c r="AB45">
        <v>0.43</v>
      </c>
      <c r="AD45">
        <v>0.13</v>
      </c>
      <c r="AE45">
        <v>0.19</v>
      </c>
      <c r="AF45">
        <v>0.2</v>
      </c>
      <c r="AG45">
        <v>0.04</v>
      </c>
      <c r="AH45">
        <v>0.01</v>
      </c>
      <c r="AI45">
        <v>0.43</v>
      </c>
      <c r="AK45">
        <v>0.1</v>
      </c>
      <c r="AL45">
        <v>0.28000000000000003</v>
      </c>
      <c r="AM45">
        <v>0.17</v>
      </c>
      <c r="AN45">
        <v>0.05</v>
      </c>
      <c r="AO45">
        <v>0</v>
      </c>
      <c r="AP45">
        <v>0.4</v>
      </c>
    </row>
    <row r="46" spans="1:42" x14ac:dyDescent="0.25">
      <c r="B46" s="1"/>
      <c r="C46" s="1"/>
      <c r="D46" s="1"/>
      <c r="E46" s="1"/>
      <c r="F46" s="1"/>
      <c r="G46" s="1"/>
    </row>
    <row r="47" spans="1:42" x14ac:dyDescent="0.25">
      <c r="A47" s="1"/>
      <c r="B47" s="4">
        <f>AVERAGE(I47,P47,W47,AD47,AK47)</f>
        <v>0.42200000000000004</v>
      </c>
      <c r="C47" s="1"/>
      <c r="D47" s="1"/>
      <c r="E47" s="1"/>
      <c r="F47" s="1"/>
      <c r="G47" s="1"/>
      <c r="I47">
        <v>0.45</v>
      </c>
      <c r="P47">
        <v>0.4</v>
      </c>
      <c r="W47">
        <v>0.4</v>
      </c>
      <c r="AD47">
        <v>0.39</v>
      </c>
      <c r="AK47">
        <v>0.47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A8C2-8EB0-4F20-895B-8FD5206E67DC}">
  <sheetPr codeName="Arkusz1"/>
  <dimension ref="A1:X48"/>
  <sheetViews>
    <sheetView zoomScale="97" zoomScaleNormal="97" workbookViewId="0">
      <selection activeCell="E22" sqref="E22"/>
    </sheetView>
  </sheetViews>
  <sheetFormatPr defaultRowHeight="15" x14ac:dyDescent="0.25"/>
  <cols>
    <col min="17" max="17" width="9.85546875" bestFit="1" customWidth="1"/>
  </cols>
  <sheetData>
    <row r="1" spans="1:24" x14ac:dyDescent="0.25">
      <c r="P1" s="6" t="s">
        <v>10</v>
      </c>
      <c r="Q1" s="6"/>
      <c r="R1" s="6"/>
    </row>
    <row r="2" spans="1:24" x14ac:dyDescent="0.25">
      <c r="D2" s="6" t="s">
        <v>6</v>
      </c>
      <c r="E2" s="6"/>
      <c r="K2" s="6" t="s">
        <v>7</v>
      </c>
      <c r="L2" s="6"/>
      <c r="M2" s="6"/>
      <c r="P2" s="6" t="s">
        <v>9</v>
      </c>
      <c r="Q2" s="6"/>
      <c r="R2" s="6"/>
      <c r="S2" s="6"/>
      <c r="T2" s="6"/>
      <c r="U2" s="6"/>
    </row>
    <row r="4" spans="1:24" x14ac:dyDescent="0.25">
      <c r="B4" s="7" t="s">
        <v>0</v>
      </c>
      <c r="C4" t="s">
        <v>2</v>
      </c>
      <c r="D4" t="s">
        <v>1</v>
      </c>
      <c r="E4" s="8" t="s">
        <v>3</v>
      </c>
      <c r="F4" s="8" t="s">
        <v>4</v>
      </c>
      <c r="G4" s="8" t="s">
        <v>5</v>
      </c>
      <c r="I4" s="7" t="s">
        <v>0</v>
      </c>
      <c r="J4" t="s">
        <v>2</v>
      </c>
      <c r="K4" t="s">
        <v>1</v>
      </c>
      <c r="L4" s="8" t="s">
        <v>3</v>
      </c>
      <c r="M4" s="8" t="s">
        <v>4</v>
      </c>
      <c r="N4" s="8" t="s">
        <v>5</v>
      </c>
      <c r="P4" s="7" t="s">
        <v>0</v>
      </c>
      <c r="Q4" t="s">
        <v>2</v>
      </c>
      <c r="R4" t="s">
        <v>1</v>
      </c>
      <c r="S4" s="8" t="s">
        <v>3</v>
      </c>
      <c r="T4" s="8" t="s">
        <v>4</v>
      </c>
      <c r="U4" s="8" t="s">
        <v>5</v>
      </c>
    </row>
    <row r="5" spans="1:24" x14ac:dyDescent="0.25">
      <c r="A5" s="2" t="s">
        <v>0</v>
      </c>
      <c r="B5" s="11">
        <v>0.78200000000000003</v>
      </c>
      <c r="C5" s="1">
        <v>4.8000000000000001E-2</v>
      </c>
      <c r="D5" s="1">
        <v>0.1</v>
      </c>
      <c r="E5" s="1">
        <v>1.7999999999999999E-2</v>
      </c>
      <c r="F5" s="1">
        <v>0</v>
      </c>
      <c r="G5" s="1">
        <v>5.2000000000000005E-2</v>
      </c>
      <c r="I5" s="11">
        <v>0.99199999999999999</v>
      </c>
      <c r="J5" s="1">
        <v>0</v>
      </c>
      <c r="K5" s="1">
        <v>4.0000000000000001E-3</v>
      </c>
      <c r="L5" s="1">
        <v>0</v>
      </c>
      <c r="M5" s="1">
        <v>2E-3</v>
      </c>
      <c r="N5" s="1">
        <v>2E-3</v>
      </c>
      <c r="P5" s="4">
        <f t="shared" ref="P5:U10" si="0">I5-B5</f>
        <v>0.20999999999999996</v>
      </c>
      <c r="Q5" s="1">
        <f t="shared" si="0"/>
        <v>-4.8000000000000001E-2</v>
      </c>
      <c r="R5" s="1">
        <f t="shared" si="0"/>
        <v>-9.6000000000000002E-2</v>
      </c>
      <c r="S5" s="1">
        <f t="shared" si="0"/>
        <v>-1.7999999999999999E-2</v>
      </c>
      <c r="T5" s="1">
        <f t="shared" si="0"/>
        <v>2E-3</v>
      </c>
      <c r="U5" s="1">
        <f t="shared" si="0"/>
        <v>-0.05</v>
      </c>
    </row>
    <row r="6" spans="1:24" x14ac:dyDescent="0.25">
      <c r="A6" t="s">
        <v>2</v>
      </c>
      <c r="B6" s="1">
        <v>0</v>
      </c>
      <c r="C6" s="11">
        <v>0.99199999999999999</v>
      </c>
      <c r="D6" s="1">
        <v>8.0000000000000002E-3</v>
      </c>
      <c r="E6" s="1">
        <v>0</v>
      </c>
      <c r="F6" s="1">
        <v>0</v>
      </c>
      <c r="G6" s="1">
        <v>0</v>
      </c>
      <c r="I6" s="1">
        <v>0</v>
      </c>
      <c r="J6" s="11">
        <v>0.99</v>
      </c>
      <c r="K6" s="1">
        <v>4.0000000000000001E-3</v>
      </c>
      <c r="L6" s="1">
        <v>4.0000000000000001E-3</v>
      </c>
      <c r="M6" s="1">
        <v>0</v>
      </c>
      <c r="N6" s="1">
        <v>4.0000000000000001E-3</v>
      </c>
      <c r="P6" s="1">
        <f t="shared" si="0"/>
        <v>0</v>
      </c>
      <c r="Q6" s="4">
        <f t="shared" si="0"/>
        <v>-2.0000000000000018E-3</v>
      </c>
      <c r="R6" s="1">
        <f>K6-D6</f>
        <v>-4.0000000000000001E-3</v>
      </c>
      <c r="S6" s="1">
        <f t="shared" si="0"/>
        <v>4.0000000000000001E-3</v>
      </c>
      <c r="T6" s="1">
        <f t="shared" si="0"/>
        <v>0</v>
      </c>
      <c r="U6" s="1">
        <f t="shared" si="0"/>
        <v>4.0000000000000001E-3</v>
      </c>
    </row>
    <row r="7" spans="1:24" x14ac:dyDescent="0.25">
      <c r="A7" t="s">
        <v>1</v>
      </c>
      <c r="B7" s="1">
        <v>0</v>
      </c>
      <c r="C7" s="1">
        <v>2.6000000000000002E-2</v>
      </c>
      <c r="D7" s="11">
        <v>0.97399999999999998</v>
      </c>
      <c r="E7" s="1">
        <v>0</v>
      </c>
      <c r="F7" s="1">
        <v>0</v>
      </c>
      <c r="G7" s="1">
        <v>0</v>
      </c>
      <c r="I7" s="1">
        <v>2E-3</v>
      </c>
      <c r="J7" s="1">
        <v>1.6E-2</v>
      </c>
      <c r="K7" s="11">
        <v>0.96400000000000008</v>
      </c>
      <c r="L7" s="1">
        <v>0.01</v>
      </c>
      <c r="M7" s="1">
        <v>4.0000000000000001E-3</v>
      </c>
      <c r="N7" s="1">
        <v>0</v>
      </c>
      <c r="P7" s="1">
        <f t="shared" si="0"/>
        <v>2E-3</v>
      </c>
      <c r="Q7" s="1">
        <f t="shared" si="0"/>
        <v>-1.0000000000000002E-2</v>
      </c>
      <c r="R7" s="4">
        <f t="shared" si="0"/>
        <v>-9.9999999999998979E-3</v>
      </c>
      <c r="S7" s="1">
        <f>L7-E7</f>
        <v>0.01</v>
      </c>
      <c r="T7" s="1">
        <f t="shared" si="0"/>
        <v>4.0000000000000001E-3</v>
      </c>
      <c r="U7" s="1">
        <f t="shared" si="0"/>
        <v>0</v>
      </c>
      <c r="X7" s="3"/>
    </row>
    <row r="8" spans="1:24" x14ac:dyDescent="0.25">
      <c r="A8" t="s">
        <v>3</v>
      </c>
      <c r="B8" s="1">
        <v>1.7999999999999999E-2</v>
      </c>
      <c r="C8" s="1">
        <v>0.156</v>
      </c>
      <c r="D8" s="1">
        <v>0.21999999999999997</v>
      </c>
      <c r="E8" s="11">
        <v>0.56200000000000006</v>
      </c>
      <c r="F8" s="1">
        <v>6.0000000000000001E-3</v>
      </c>
      <c r="G8" s="1">
        <v>3.4000000000000002E-2</v>
      </c>
      <c r="I8" s="1">
        <v>8.199999999999999E-2</v>
      </c>
      <c r="J8" s="1">
        <v>7.400000000000001E-2</v>
      </c>
      <c r="K8" s="1">
        <v>5.3999999999999992E-2</v>
      </c>
      <c r="L8" s="11">
        <v>0.70399999999999996</v>
      </c>
      <c r="M8" s="1">
        <v>0.02</v>
      </c>
      <c r="N8" s="1">
        <v>6.4000000000000001E-2</v>
      </c>
      <c r="P8" s="1">
        <f t="shared" si="0"/>
        <v>6.3999999999999987E-2</v>
      </c>
      <c r="Q8" s="1">
        <f t="shared" si="0"/>
        <v>-8.199999999999999E-2</v>
      </c>
      <c r="R8" s="1">
        <f>K8-D8</f>
        <v>-0.16599999999999998</v>
      </c>
      <c r="S8" s="4">
        <f t="shared" si="0"/>
        <v>0.1419999999999999</v>
      </c>
      <c r="T8" s="1">
        <f t="shared" si="0"/>
        <v>1.4E-2</v>
      </c>
      <c r="U8" s="1">
        <f t="shared" si="0"/>
        <v>0.03</v>
      </c>
    </row>
    <row r="9" spans="1:24" x14ac:dyDescent="0.25">
      <c r="A9" t="s">
        <v>4</v>
      </c>
      <c r="B9" s="1">
        <v>8.5999999999999993E-2</v>
      </c>
      <c r="C9" s="1">
        <v>0.23199999999999998</v>
      </c>
      <c r="D9" s="1">
        <v>0.35000000000000003</v>
      </c>
      <c r="E9" s="1">
        <v>8.2000000000000003E-2</v>
      </c>
      <c r="F9" s="11">
        <v>0.11000000000000001</v>
      </c>
      <c r="G9" s="1">
        <v>0.14199999999999999</v>
      </c>
      <c r="I9" s="1">
        <v>0.10600000000000001</v>
      </c>
      <c r="J9" s="1">
        <v>0.15400000000000003</v>
      </c>
      <c r="K9" s="1">
        <v>0.10200000000000001</v>
      </c>
      <c r="L9" s="1">
        <v>0.124</v>
      </c>
      <c r="M9" s="11">
        <v>0.35</v>
      </c>
      <c r="N9" s="1">
        <v>0.16600000000000004</v>
      </c>
      <c r="P9" s="1">
        <f t="shared" si="0"/>
        <v>2.0000000000000018E-2</v>
      </c>
      <c r="Q9" s="1">
        <f t="shared" si="0"/>
        <v>-7.7999999999999958E-2</v>
      </c>
      <c r="R9" s="1">
        <f t="shared" si="0"/>
        <v>-0.24800000000000003</v>
      </c>
      <c r="S9" s="1">
        <f t="shared" si="0"/>
        <v>4.1999999999999996E-2</v>
      </c>
      <c r="T9" s="4">
        <f t="shared" si="0"/>
        <v>0.23999999999999996</v>
      </c>
      <c r="U9" s="1">
        <f t="shared" si="0"/>
        <v>2.4000000000000049E-2</v>
      </c>
    </row>
    <row r="10" spans="1:24" x14ac:dyDescent="0.25">
      <c r="A10" t="s">
        <v>5</v>
      </c>
      <c r="B10" s="1">
        <v>3.6000000000000004E-2</v>
      </c>
      <c r="C10" s="1">
        <v>6.6000000000000003E-2</v>
      </c>
      <c r="D10" s="1">
        <v>0.15400000000000003</v>
      </c>
      <c r="E10" s="1">
        <v>0.01</v>
      </c>
      <c r="F10" s="1">
        <v>0</v>
      </c>
      <c r="G10" s="11">
        <v>0.73199999999999998</v>
      </c>
      <c r="I10" s="1">
        <v>3.4000000000000002E-2</v>
      </c>
      <c r="J10" s="1">
        <v>2E-3</v>
      </c>
      <c r="K10" s="1">
        <v>2E-3</v>
      </c>
      <c r="L10" s="1">
        <v>4.0000000000000001E-3</v>
      </c>
      <c r="M10" s="1">
        <v>8.0000000000000002E-3</v>
      </c>
      <c r="N10" s="11">
        <v>0.95</v>
      </c>
      <c r="P10" s="1">
        <f t="shared" si="0"/>
        <v>-2.0000000000000018E-3</v>
      </c>
      <c r="Q10" s="1">
        <f t="shared" si="0"/>
        <v>-6.4000000000000001E-2</v>
      </c>
      <c r="R10" s="1">
        <f t="shared" si="0"/>
        <v>-0.15200000000000002</v>
      </c>
      <c r="S10" s="1">
        <f t="shared" si="0"/>
        <v>-6.0000000000000001E-3</v>
      </c>
      <c r="T10" s="1">
        <f t="shared" si="0"/>
        <v>8.0000000000000002E-3</v>
      </c>
      <c r="U10" s="4">
        <f>N10-G10</f>
        <v>0.21799999999999997</v>
      </c>
    </row>
    <row r="11" spans="1:24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N11" s="1"/>
      <c r="P11" s="1"/>
      <c r="Q11" s="1"/>
      <c r="R11" s="1"/>
      <c r="S11" s="1"/>
      <c r="T11" s="1"/>
      <c r="U11" s="1"/>
    </row>
    <row r="12" spans="1:24" x14ac:dyDescent="0.25">
      <c r="A12" t="s">
        <v>8</v>
      </c>
      <c r="B12" s="11">
        <v>0.69199999999999995</v>
      </c>
      <c r="C12" s="1"/>
      <c r="D12" s="1"/>
      <c r="E12" s="1"/>
      <c r="F12" s="1"/>
      <c r="G12" s="1"/>
      <c r="I12" s="11">
        <v>0.82400000000000007</v>
      </c>
      <c r="J12" s="1"/>
      <c r="K12" s="1"/>
      <c r="L12" s="1"/>
      <c r="M12" s="1"/>
      <c r="N12" s="1"/>
      <c r="P12" s="4">
        <f>I12-B12</f>
        <v>0.13200000000000012</v>
      </c>
      <c r="Q12" s="1"/>
      <c r="R12" s="1"/>
      <c r="S12" s="1"/>
      <c r="T12" s="1"/>
      <c r="U12" s="1"/>
    </row>
    <row r="13" spans="1:24" x14ac:dyDescent="0.25">
      <c r="B13" s="1"/>
      <c r="C13" s="1"/>
      <c r="D13" s="1"/>
      <c r="E13" s="1"/>
      <c r="F13" s="1"/>
      <c r="G13" s="1"/>
      <c r="I13" s="2"/>
    </row>
    <row r="14" spans="1:24" x14ac:dyDescent="0.25">
      <c r="B14" s="1"/>
      <c r="C14" s="1"/>
      <c r="D14" s="1"/>
      <c r="E14" s="1"/>
      <c r="F14" s="1"/>
      <c r="G14" s="1"/>
      <c r="I14" s="2"/>
    </row>
    <row r="15" spans="1:24" x14ac:dyDescent="0.25">
      <c r="B15" s="7" t="s">
        <v>0</v>
      </c>
      <c r="C15" t="s">
        <v>2</v>
      </c>
      <c r="D15" t="s">
        <v>1</v>
      </c>
      <c r="E15" s="8" t="s">
        <v>3</v>
      </c>
      <c r="F15" s="8" t="s">
        <v>4</v>
      </c>
      <c r="G15" s="8" t="s">
        <v>5</v>
      </c>
      <c r="I15" s="7" t="s">
        <v>0</v>
      </c>
      <c r="J15" t="s">
        <v>2</v>
      </c>
      <c r="K15" t="s">
        <v>1</v>
      </c>
      <c r="L15" s="8" t="s">
        <v>3</v>
      </c>
      <c r="M15" s="8" t="s">
        <v>4</v>
      </c>
      <c r="N15" s="8" t="s">
        <v>5</v>
      </c>
      <c r="P15" s="7" t="s">
        <v>0</v>
      </c>
      <c r="Q15" t="s">
        <v>2</v>
      </c>
      <c r="R15" t="s">
        <v>1</v>
      </c>
      <c r="S15" s="8" t="s">
        <v>3</v>
      </c>
      <c r="T15" s="8" t="s">
        <v>4</v>
      </c>
      <c r="U15" s="8" t="s">
        <v>5</v>
      </c>
    </row>
    <row r="16" spans="1:24" x14ac:dyDescent="0.25">
      <c r="A16" s="2" t="s">
        <v>0</v>
      </c>
      <c r="B16" s="11">
        <v>0.57599999999999996</v>
      </c>
      <c r="C16" s="1">
        <v>8.5999999999999993E-2</v>
      </c>
      <c r="D16" s="1">
        <v>0.13600000000000001</v>
      </c>
      <c r="E16" s="1">
        <v>6.3999999999999987E-2</v>
      </c>
      <c r="F16" s="1">
        <v>1.4000000000000002E-2</v>
      </c>
      <c r="G16" s="1">
        <v>0.12999999999999998</v>
      </c>
      <c r="I16" s="11">
        <v>0.53800000000000003</v>
      </c>
      <c r="J16" s="1">
        <v>1.2E-2</v>
      </c>
      <c r="K16" s="1">
        <v>4.8000000000000001E-2</v>
      </c>
      <c r="L16" s="1">
        <v>0.13400000000000001</v>
      </c>
      <c r="M16" s="1">
        <v>4.5999999999999999E-2</v>
      </c>
      <c r="N16" s="1">
        <v>0.22600000000000003</v>
      </c>
      <c r="P16" s="4">
        <f t="shared" ref="P16:U21" si="1">I16-B16</f>
        <v>-3.7999999999999923E-2</v>
      </c>
      <c r="Q16" s="1">
        <f t="shared" si="1"/>
        <v>-7.3999999999999996E-2</v>
      </c>
      <c r="R16" s="1">
        <f t="shared" si="1"/>
        <v>-8.8000000000000009E-2</v>
      </c>
      <c r="S16" s="1">
        <f t="shared" si="1"/>
        <v>7.0000000000000021E-2</v>
      </c>
      <c r="T16" s="1">
        <f t="shared" si="1"/>
        <v>3.2000000000000001E-2</v>
      </c>
      <c r="U16" s="1">
        <f t="shared" si="1"/>
        <v>9.6000000000000058E-2</v>
      </c>
    </row>
    <row r="17" spans="1:21" x14ac:dyDescent="0.25">
      <c r="A17" t="s">
        <v>2</v>
      </c>
      <c r="B17" s="1">
        <v>2.8000000000000004E-2</v>
      </c>
      <c r="C17" s="11">
        <v>0.51400000000000001</v>
      </c>
      <c r="D17" s="1">
        <v>0.36599999999999999</v>
      </c>
      <c r="E17" s="1">
        <v>0.08</v>
      </c>
      <c r="F17" s="1">
        <v>0</v>
      </c>
      <c r="G17" s="1">
        <v>1.4000000000000002E-2</v>
      </c>
      <c r="I17" s="1">
        <v>2.8000000000000004E-2</v>
      </c>
      <c r="J17" s="11">
        <v>0.53600000000000003</v>
      </c>
      <c r="K17" s="1">
        <v>0.14399999999999999</v>
      </c>
      <c r="L17" s="1">
        <v>0.21200000000000002</v>
      </c>
      <c r="M17" s="1">
        <v>0.04</v>
      </c>
      <c r="N17" s="1">
        <v>0.04</v>
      </c>
      <c r="P17" s="1">
        <f t="shared" si="1"/>
        <v>0</v>
      </c>
      <c r="Q17" s="4">
        <f t="shared" si="1"/>
        <v>2.200000000000002E-2</v>
      </c>
      <c r="R17" s="1">
        <f t="shared" si="1"/>
        <v>-0.222</v>
      </c>
      <c r="S17" s="1">
        <f t="shared" si="1"/>
        <v>0.13200000000000001</v>
      </c>
      <c r="T17" s="1">
        <f t="shared" si="1"/>
        <v>0.04</v>
      </c>
      <c r="U17" s="1">
        <f t="shared" si="1"/>
        <v>2.5999999999999999E-2</v>
      </c>
    </row>
    <row r="18" spans="1:21" x14ac:dyDescent="0.25">
      <c r="A18" t="s">
        <v>1</v>
      </c>
      <c r="B18" s="1">
        <v>4.3999999999999997E-2</v>
      </c>
      <c r="C18" s="1">
        <v>0.31799999999999995</v>
      </c>
      <c r="D18" s="11">
        <v>0.52400000000000002</v>
      </c>
      <c r="E18" s="1">
        <v>6.4000000000000001E-2</v>
      </c>
      <c r="F18" s="1">
        <v>4.2000000000000003E-2</v>
      </c>
      <c r="G18" s="1">
        <v>0.01</v>
      </c>
      <c r="I18" s="1">
        <v>7.5999999999999998E-2</v>
      </c>
      <c r="J18" s="1">
        <v>0.36199999999999999</v>
      </c>
      <c r="K18" s="11">
        <v>0.308</v>
      </c>
      <c r="L18" s="1">
        <v>0.128</v>
      </c>
      <c r="M18" s="1">
        <v>8.3999999999999991E-2</v>
      </c>
      <c r="N18" s="1">
        <v>4.2000000000000003E-2</v>
      </c>
      <c r="P18" s="1">
        <f t="shared" si="1"/>
        <v>3.2000000000000001E-2</v>
      </c>
      <c r="Q18" s="1">
        <f t="shared" si="1"/>
        <v>4.4000000000000039E-2</v>
      </c>
      <c r="R18" s="4">
        <f t="shared" si="1"/>
        <v>-0.21600000000000003</v>
      </c>
      <c r="S18" s="1">
        <f t="shared" si="1"/>
        <v>6.4000000000000001E-2</v>
      </c>
      <c r="T18" s="1">
        <f t="shared" si="1"/>
        <v>4.1999999999999989E-2</v>
      </c>
      <c r="U18" s="1">
        <f t="shared" si="1"/>
        <v>3.2000000000000001E-2</v>
      </c>
    </row>
    <row r="19" spans="1:21" x14ac:dyDescent="0.25">
      <c r="A19" t="s">
        <v>3</v>
      </c>
      <c r="B19" s="1">
        <v>2.8000000000000004E-2</v>
      </c>
      <c r="C19" s="1">
        <v>0.16999999999999998</v>
      </c>
      <c r="D19" s="1">
        <v>0.252</v>
      </c>
      <c r="E19" s="11">
        <v>0.49199999999999999</v>
      </c>
      <c r="F19" s="1">
        <v>1.2E-2</v>
      </c>
      <c r="G19" s="1">
        <v>4.4000000000000004E-2</v>
      </c>
      <c r="I19" s="1">
        <v>0.10999999999999999</v>
      </c>
      <c r="J19" s="1">
        <v>0.13600000000000001</v>
      </c>
      <c r="K19" s="1">
        <v>0.10600000000000001</v>
      </c>
      <c r="L19" s="11">
        <v>0.48399999999999999</v>
      </c>
      <c r="M19" s="1">
        <v>5.5999999999999994E-2</v>
      </c>
      <c r="N19" s="1">
        <v>0.11200000000000002</v>
      </c>
      <c r="P19" s="1">
        <f t="shared" si="1"/>
        <v>8.199999999999999E-2</v>
      </c>
      <c r="Q19" s="1">
        <f t="shared" si="1"/>
        <v>-3.3999999999999975E-2</v>
      </c>
      <c r="R19" s="1">
        <f t="shared" si="1"/>
        <v>-0.14599999999999999</v>
      </c>
      <c r="S19" s="4">
        <f t="shared" si="1"/>
        <v>-8.0000000000000071E-3</v>
      </c>
      <c r="T19" s="1">
        <f t="shared" si="1"/>
        <v>4.3999999999999997E-2</v>
      </c>
      <c r="U19" s="1">
        <f t="shared" si="1"/>
        <v>6.8000000000000005E-2</v>
      </c>
    </row>
    <row r="20" spans="1:21" x14ac:dyDescent="0.25">
      <c r="A20" t="s">
        <v>4</v>
      </c>
      <c r="B20" s="1">
        <v>9.8000000000000004E-2</v>
      </c>
      <c r="C20" s="1">
        <v>0.23199999999999998</v>
      </c>
      <c r="D20" s="1">
        <v>0.31399999999999995</v>
      </c>
      <c r="E20" s="1">
        <v>0.10599999999999998</v>
      </c>
      <c r="F20" s="11">
        <v>0.04</v>
      </c>
      <c r="G20" s="1">
        <v>0.21200000000000002</v>
      </c>
      <c r="I20" s="1">
        <v>0.16400000000000001</v>
      </c>
      <c r="J20" s="1">
        <v>0.182</v>
      </c>
      <c r="K20" s="1">
        <v>0.156</v>
      </c>
      <c r="L20" s="1">
        <v>0.17599999999999999</v>
      </c>
      <c r="M20" s="11">
        <v>0.10799999999999998</v>
      </c>
      <c r="N20" s="1">
        <v>0.21799999999999997</v>
      </c>
      <c r="P20" s="1">
        <f t="shared" si="1"/>
        <v>6.6000000000000003E-2</v>
      </c>
      <c r="Q20" s="1">
        <f t="shared" si="1"/>
        <v>-4.9999999999999989E-2</v>
      </c>
      <c r="R20" s="1">
        <f t="shared" si="1"/>
        <v>-0.15799999999999995</v>
      </c>
      <c r="S20" s="1">
        <f t="shared" si="1"/>
        <v>7.0000000000000007E-2</v>
      </c>
      <c r="T20" s="4">
        <f t="shared" si="1"/>
        <v>6.7999999999999977E-2</v>
      </c>
      <c r="U20" s="1">
        <f t="shared" si="1"/>
        <v>5.9999999999999498E-3</v>
      </c>
    </row>
    <row r="21" spans="1:21" x14ac:dyDescent="0.25">
      <c r="A21" t="s">
        <v>5</v>
      </c>
      <c r="B21" s="1">
        <v>0.13599999999999998</v>
      </c>
      <c r="C21" s="1">
        <v>9.4E-2</v>
      </c>
      <c r="D21" s="1">
        <v>0.23799999999999999</v>
      </c>
      <c r="E21" s="1">
        <v>4.3999999999999997E-2</v>
      </c>
      <c r="F21" s="1">
        <v>2.8000000000000004E-2</v>
      </c>
      <c r="G21" s="11">
        <v>0.46400000000000008</v>
      </c>
      <c r="I21" s="1">
        <v>0.3</v>
      </c>
      <c r="J21" s="1">
        <v>4.5999999999999999E-2</v>
      </c>
      <c r="K21" s="1">
        <v>7.5999999999999998E-2</v>
      </c>
      <c r="L21" s="1">
        <v>5.6000000000000008E-2</v>
      </c>
      <c r="M21" s="1">
        <v>0.11799999999999999</v>
      </c>
      <c r="N21" s="11">
        <v>0.40800000000000003</v>
      </c>
      <c r="P21" s="1">
        <f t="shared" si="1"/>
        <v>0.16400000000000001</v>
      </c>
      <c r="Q21" s="1">
        <f t="shared" si="1"/>
        <v>-4.8000000000000001E-2</v>
      </c>
      <c r="R21" s="1">
        <f t="shared" si="1"/>
        <v>-0.16199999999999998</v>
      </c>
      <c r="S21" s="1">
        <f t="shared" si="1"/>
        <v>1.2000000000000011E-2</v>
      </c>
      <c r="T21" s="1">
        <f t="shared" si="1"/>
        <v>0.09</v>
      </c>
      <c r="U21" s="4">
        <f t="shared" si="1"/>
        <v>-5.600000000000005E-2</v>
      </c>
    </row>
    <row r="22" spans="1:21" x14ac:dyDescent="0.25">
      <c r="B22" s="1"/>
      <c r="C22" s="1"/>
      <c r="D22" s="1"/>
      <c r="E22" s="1"/>
      <c r="F22" s="1"/>
      <c r="G22" s="1"/>
      <c r="I22" s="1"/>
      <c r="J22" s="1"/>
      <c r="K22" s="1"/>
      <c r="L22" s="1"/>
      <c r="M22" s="1"/>
      <c r="N22" s="1"/>
      <c r="P22" s="1"/>
      <c r="Q22" s="1"/>
      <c r="R22" s="1"/>
      <c r="S22" s="1"/>
      <c r="T22" s="1"/>
      <c r="U22" s="1"/>
    </row>
    <row r="23" spans="1:21" x14ac:dyDescent="0.25">
      <c r="A23" t="s">
        <v>8</v>
      </c>
      <c r="B23" s="11">
        <v>0.438</v>
      </c>
      <c r="C23" s="1"/>
      <c r="D23" s="1"/>
      <c r="E23" s="1"/>
      <c r="F23" s="1"/>
      <c r="G23" s="1"/>
      <c r="I23" s="11">
        <v>0.39800000000000002</v>
      </c>
      <c r="J23" s="1"/>
      <c r="K23" s="1"/>
      <c r="L23" s="1"/>
      <c r="M23" s="1"/>
      <c r="N23" s="1"/>
      <c r="P23" s="4">
        <f>I23-B23</f>
        <v>-3.999999999999998E-2</v>
      </c>
      <c r="Q23" s="1"/>
      <c r="R23" s="1"/>
      <c r="S23" s="1"/>
      <c r="T23" s="1"/>
      <c r="U23" s="1"/>
    </row>
    <row r="27" spans="1:21" x14ac:dyDescent="0.25">
      <c r="B27" t="s">
        <v>16</v>
      </c>
    </row>
    <row r="28" spans="1:21" x14ac:dyDescent="0.25">
      <c r="E28" s="10" t="s">
        <v>18</v>
      </c>
      <c r="M28" s="10" t="s">
        <v>17</v>
      </c>
    </row>
    <row r="29" spans="1:21" x14ac:dyDescent="0.25">
      <c r="C29" s="2" t="s">
        <v>0</v>
      </c>
      <c r="D29" t="s">
        <v>2</v>
      </c>
      <c r="E29" t="s">
        <v>1</v>
      </c>
      <c r="F29" t="s">
        <v>3</v>
      </c>
      <c r="G29" t="s">
        <v>4</v>
      </c>
      <c r="H29" t="s">
        <v>5</v>
      </c>
      <c r="K29" s="1" t="s">
        <v>11</v>
      </c>
      <c r="L29" s="1" t="s">
        <v>12</v>
      </c>
      <c r="M29" s="1" t="s">
        <v>13</v>
      </c>
      <c r="N29" s="1" t="s">
        <v>14</v>
      </c>
      <c r="O29" s="1" t="s">
        <v>15</v>
      </c>
    </row>
    <row r="30" spans="1:21" x14ac:dyDescent="0.25">
      <c r="B30" s="2" t="s">
        <v>0</v>
      </c>
      <c r="C30" s="4">
        <v>0.98599999999999999</v>
      </c>
      <c r="D30" s="1">
        <v>0</v>
      </c>
      <c r="E30" s="1">
        <v>2E-3</v>
      </c>
      <c r="F30" s="1">
        <v>0</v>
      </c>
      <c r="G30" s="1">
        <v>2E-3</v>
      </c>
      <c r="H30" s="1">
        <v>0.01</v>
      </c>
      <c r="J30" s="1" t="s">
        <v>11</v>
      </c>
      <c r="K30" s="5">
        <v>0.97399999999999998</v>
      </c>
      <c r="L30" s="1">
        <v>0</v>
      </c>
      <c r="M30" s="1">
        <v>4.0000000000000001E-3</v>
      </c>
      <c r="N30" s="1">
        <v>0</v>
      </c>
      <c r="O30" s="1">
        <v>1.7999999999999999E-2</v>
      </c>
    </row>
    <row r="31" spans="1:21" x14ac:dyDescent="0.25">
      <c r="B31" t="s">
        <v>2</v>
      </c>
      <c r="C31" s="1">
        <v>0</v>
      </c>
      <c r="D31" s="4">
        <v>0.97999999999999987</v>
      </c>
      <c r="E31" s="1">
        <v>0.01</v>
      </c>
      <c r="F31" s="1">
        <v>4.0000000000000001E-3</v>
      </c>
      <c r="G31" s="1">
        <v>4.0000000000000001E-3</v>
      </c>
      <c r="H31" s="1">
        <v>4.0000000000000001E-3</v>
      </c>
      <c r="J31" s="1" t="s">
        <v>12</v>
      </c>
      <c r="K31" s="1">
        <v>0</v>
      </c>
      <c r="L31" s="5">
        <v>0.97599999999999976</v>
      </c>
      <c r="M31" s="1">
        <v>1.4000000000000002E-2</v>
      </c>
      <c r="N31" s="1">
        <v>0.01</v>
      </c>
      <c r="O31" s="1">
        <v>0</v>
      </c>
    </row>
    <row r="32" spans="1:21" x14ac:dyDescent="0.25">
      <c r="B32" t="s">
        <v>1</v>
      </c>
      <c r="C32" s="1">
        <v>2E-3</v>
      </c>
      <c r="D32" s="1">
        <v>0.01</v>
      </c>
      <c r="E32" s="4">
        <v>0.97</v>
      </c>
      <c r="F32" s="1">
        <v>0.01</v>
      </c>
      <c r="G32" s="1">
        <v>4.0000000000000001E-3</v>
      </c>
      <c r="H32" s="1">
        <v>0</v>
      </c>
      <c r="J32" s="1" t="s">
        <v>13</v>
      </c>
      <c r="K32" s="1">
        <v>2E-3</v>
      </c>
      <c r="L32" s="1">
        <v>1.9999999999999997E-2</v>
      </c>
      <c r="M32" s="5">
        <v>0.95599999999999985</v>
      </c>
      <c r="N32" s="1">
        <v>1.6E-2</v>
      </c>
      <c r="O32" s="1">
        <v>4.0000000000000001E-3</v>
      </c>
    </row>
    <row r="33" spans="2:15" x14ac:dyDescent="0.25">
      <c r="B33" t="s">
        <v>3</v>
      </c>
      <c r="C33" s="1">
        <v>8.2000000000000003E-2</v>
      </c>
      <c r="D33" s="1">
        <v>7.400000000000001E-2</v>
      </c>
      <c r="E33" s="1">
        <v>9.1999999999999998E-2</v>
      </c>
      <c r="F33" s="4">
        <v>0.68</v>
      </c>
      <c r="G33" s="1">
        <v>2.7999999999999997E-2</v>
      </c>
      <c r="H33" s="1">
        <v>4.5999999999999999E-2</v>
      </c>
      <c r="J33" s="1" t="s">
        <v>14</v>
      </c>
      <c r="K33" s="1">
        <v>7.3999999999999996E-2</v>
      </c>
      <c r="L33" s="1">
        <v>8.5999999999999993E-2</v>
      </c>
      <c r="M33" s="1">
        <v>8.6000000000000007E-2</v>
      </c>
      <c r="N33" s="5">
        <v>0.68599999999999994</v>
      </c>
      <c r="O33" s="1">
        <v>6.7999999999999991E-2</v>
      </c>
    </row>
    <row r="34" spans="2:15" x14ac:dyDescent="0.25">
      <c r="B34" t="s">
        <v>4</v>
      </c>
      <c r="C34" s="1">
        <v>0.11000000000000001</v>
      </c>
      <c r="D34" s="1">
        <v>0.14800000000000002</v>
      </c>
      <c r="E34" s="1">
        <v>0.14800000000000002</v>
      </c>
      <c r="F34" s="1">
        <v>0.122</v>
      </c>
      <c r="G34" s="4">
        <v>0.30399999999999999</v>
      </c>
      <c r="H34" s="1">
        <v>0.16800000000000001</v>
      </c>
      <c r="J34" s="1" t="s">
        <v>15</v>
      </c>
      <c r="K34" s="1">
        <v>0.03</v>
      </c>
      <c r="L34" s="1">
        <v>4.0000000000000001E-3</v>
      </c>
      <c r="M34" s="1">
        <v>2.1999999999999999E-2</v>
      </c>
      <c r="N34" s="1">
        <v>6.0000000000000001E-3</v>
      </c>
      <c r="O34" s="5">
        <v>0.93800000000000006</v>
      </c>
    </row>
    <row r="35" spans="2:15" x14ac:dyDescent="0.25">
      <c r="B35" t="s">
        <v>5</v>
      </c>
      <c r="C35" s="1">
        <v>3.2000000000000001E-2</v>
      </c>
      <c r="D35" s="1">
        <v>4.0000000000000001E-3</v>
      </c>
      <c r="E35" s="1">
        <v>1.6E-2</v>
      </c>
      <c r="F35" s="1">
        <v>2E-3</v>
      </c>
      <c r="G35" s="1">
        <v>6.0000000000000001E-3</v>
      </c>
      <c r="H35" s="4">
        <v>0.93399999999999994</v>
      </c>
      <c r="K35" s="1"/>
      <c r="L35" s="1"/>
      <c r="M35" s="1"/>
      <c r="N35" s="1"/>
      <c r="O35" s="1"/>
    </row>
    <row r="36" spans="2:15" x14ac:dyDescent="0.25">
      <c r="C36" s="1"/>
      <c r="K36" s="1"/>
      <c r="L36" s="1"/>
      <c r="M36" s="1"/>
      <c r="N36" s="1"/>
      <c r="O36" s="1"/>
    </row>
    <row r="37" spans="2:15" x14ac:dyDescent="0.25">
      <c r="C37" s="4">
        <v>0.80800000000000005</v>
      </c>
      <c r="K37" s="5">
        <v>0.90600000000000003</v>
      </c>
      <c r="L37" s="1"/>
      <c r="M37" s="1"/>
      <c r="N37" s="1"/>
      <c r="O37" s="1"/>
    </row>
    <row r="38" spans="2:15" x14ac:dyDescent="0.25">
      <c r="C38" s="2"/>
      <c r="K38" s="1"/>
      <c r="L38" s="1"/>
      <c r="M38" s="1"/>
      <c r="N38" s="1"/>
      <c r="O38" s="1"/>
    </row>
    <row r="39" spans="2:15" x14ac:dyDescent="0.25">
      <c r="C39" s="2"/>
      <c r="K39" s="1"/>
      <c r="L39" s="1"/>
      <c r="M39" s="1"/>
      <c r="N39" s="1"/>
      <c r="O39" s="1"/>
    </row>
    <row r="40" spans="2:15" x14ac:dyDescent="0.25">
      <c r="C40" s="2" t="s">
        <v>0</v>
      </c>
      <c r="D40" t="s">
        <v>2</v>
      </c>
      <c r="E40" t="s">
        <v>1</v>
      </c>
      <c r="F40" t="s">
        <v>3</v>
      </c>
      <c r="G40" t="s">
        <v>4</v>
      </c>
      <c r="H40" t="s">
        <v>5</v>
      </c>
      <c r="K40" s="1" t="s">
        <v>11</v>
      </c>
      <c r="L40" s="1" t="s">
        <v>12</v>
      </c>
      <c r="M40" s="1" t="s">
        <v>13</v>
      </c>
      <c r="N40" s="1" t="s">
        <v>14</v>
      </c>
      <c r="O40" s="1" t="s">
        <v>15</v>
      </c>
    </row>
    <row r="41" spans="2:15" x14ac:dyDescent="0.25">
      <c r="B41" s="2" t="s">
        <v>0</v>
      </c>
      <c r="C41" s="4">
        <v>0.64399999999999991</v>
      </c>
      <c r="D41" s="1">
        <v>1.2E-2</v>
      </c>
      <c r="E41" s="1">
        <v>6.7999999999999991E-2</v>
      </c>
      <c r="F41" s="1">
        <v>6.7999999999999991E-2</v>
      </c>
      <c r="G41" s="1">
        <v>0.06</v>
      </c>
      <c r="H41" s="1">
        <v>0.158</v>
      </c>
      <c r="J41" s="1" t="s">
        <v>11</v>
      </c>
      <c r="K41" s="5">
        <v>0.6379999999999999</v>
      </c>
      <c r="L41" s="1">
        <v>3.5999999999999997E-2</v>
      </c>
      <c r="M41" s="1">
        <v>5.6000000000000008E-2</v>
      </c>
      <c r="N41" s="1">
        <v>6.7999999999999991E-2</v>
      </c>
      <c r="O41" s="1">
        <v>0.20800000000000002</v>
      </c>
    </row>
    <row r="42" spans="2:15" x14ac:dyDescent="0.25">
      <c r="B42" t="s">
        <v>2</v>
      </c>
      <c r="C42" s="1">
        <v>0.02</v>
      </c>
      <c r="D42" s="4">
        <v>0.48799999999999988</v>
      </c>
      <c r="E42" s="1">
        <v>0.28000000000000003</v>
      </c>
      <c r="F42" s="1">
        <v>9.6000000000000002E-2</v>
      </c>
      <c r="G42" s="1">
        <v>6.4000000000000001E-2</v>
      </c>
      <c r="H42" s="1">
        <v>5.2000000000000005E-2</v>
      </c>
      <c r="J42" s="1" t="s">
        <v>12</v>
      </c>
      <c r="K42" s="1">
        <v>2.4E-2</v>
      </c>
      <c r="L42" s="5">
        <v>0.58200000000000007</v>
      </c>
      <c r="M42" s="1">
        <v>0.26599999999999996</v>
      </c>
      <c r="N42" s="1">
        <v>0.11200000000000002</v>
      </c>
      <c r="O42" s="1">
        <v>1.7999999999999999E-2</v>
      </c>
    </row>
    <row r="43" spans="2:15" x14ac:dyDescent="0.25">
      <c r="B43" t="s">
        <v>1</v>
      </c>
      <c r="C43" s="1">
        <v>7.8E-2</v>
      </c>
      <c r="D43" s="1">
        <v>0.188</v>
      </c>
      <c r="E43" s="4">
        <v>0.502</v>
      </c>
      <c r="F43" s="1">
        <v>0.15200000000000002</v>
      </c>
      <c r="G43" s="1">
        <v>4.5999999999999999E-2</v>
      </c>
      <c r="H43" s="1">
        <v>3.4000000000000002E-2</v>
      </c>
      <c r="J43" s="1" t="s">
        <v>13</v>
      </c>
      <c r="K43" s="1">
        <v>0.09</v>
      </c>
      <c r="L43" s="1">
        <v>0.33400000000000002</v>
      </c>
      <c r="M43" s="5">
        <v>0.40600000000000003</v>
      </c>
      <c r="N43" s="1">
        <v>0.13200000000000001</v>
      </c>
      <c r="O43" s="1">
        <v>3.7999999999999999E-2</v>
      </c>
    </row>
    <row r="44" spans="2:15" x14ac:dyDescent="0.25">
      <c r="B44" t="s">
        <v>3</v>
      </c>
      <c r="C44" s="1">
        <v>0.13</v>
      </c>
      <c r="D44" s="1">
        <v>0.13400000000000001</v>
      </c>
      <c r="E44" s="1">
        <v>0.11800000000000002</v>
      </c>
      <c r="F44" s="4">
        <v>0.47200000000000009</v>
      </c>
      <c r="G44" s="1">
        <v>5.4000000000000006E-2</v>
      </c>
      <c r="H44" s="1">
        <v>9.1999999999999998E-2</v>
      </c>
      <c r="J44" s="1" t="s">
        <v>14</v>
      </c>
      <c r="K44" s="1">
        <v>0.09</v>
      </c>
      <c r="L44" s="1">
        <v>0.13799999999999998</v>
      </c>
      <c r="M44" s="1">
        <v>0.13</v>
      </c>
      <c r="N44" s="5">
        <v>0.54200000000000004</v>
      </c>
      <c r="O44" s="1">
        <v>0.10200000000000001</v>
      </c>
    </row>
    <row r="45" spans="2:15" x14ac:dyDescent="0.25">
      <c r="B45" t="s">
        <v>4</v>
      </c>
      <c r="C45" s="1">
        <v>0.13200000000000001</v>
      </c>
      <c r="D45" s="1">
        <v>0.20600000000000002</v>
      </c>
      <c r="E45" s="1">
        <v>0.15999999999999998</v>
      </c>
      <c r="F45" s="1">
        <v>0.188</v>
      </c>
      <c r="G45" s="4">
        <v>6.9999999999999993E-2</v>
      </c>
      <c r="H45" s="1">
        <v>0.25</v>
      </c>
      <c r="J45" s="1" t="s">
        <v>15</v>
      </c>
      <c r="K45" s="1">
        <v>0.21799999999999997</v>
      </c>
      <c r="L45" s="1">
        <v>6.0000000000000012E-2</v>
      </c>
      <c r="M45" s="1">
        <v>0.122</v>
      </c>
      <c r="N45" s="1">
        <v>0.09</v>
      </c>
      <c r="O45" s="5">
        <v>0.51400000000000001</v>
      </c>
    </row>
    <row r="46" spans="2:15" x14ac:dyDescent="0.25">
      <c r="B46" t="s">
        <v>5</v>
      </c>
      <c r="C46" s="1">
        <v>0.20800000000000002</v>
      </c>
      <c r="D46" s="1">
        <v>0.03</v>
      </c>
      <c r="E46" s="1">
        <v>0.128</v>
      </c>
      <c r="F46" s="1">
        <v>8.2000000000000003E-2</v>
      </c>
      <c r="G46" s="1">
        <v>0.10600000000000001</v>
      </c>
      <c r="H46" s="4">
        <v>0.45199999999999996</v>
      </c>
    </row>
    <row r="47" spans="2:15" x14ac:dyDescent="0.25">
      <c r="C47" s="2"/>
    </row>
    <row r="48" spans="2:15" x14ac:dyDescent="0.25">
      <c r="C48" s="4">
        <v>0.43600000000000005</v>
      </c>
      <c r="D48" s="9"/>
      <c r="K48" s="5">
        <v>0.53800000000000003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1121-85DE-4545-B2C6-F71C7852890F}">
  <dimension ref="A4:AP34"/>
  <sheetViews>
    <sheetView workbookViewId="0">
      <selection activeCell="E23" sqref="E2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0.92400000000000004</v>
      </c>
      <c r="C5" s="1">
        <f t="shared" ref="C5:G5" si="0">AVERAGE(J5,Q5,X5,AE5,AL5)</f>
        <v>1.2E-2</v>
      </c>
      <c r="D5" s="1">
        <f t="shared" si="0"/>
        <v>8.0000000000000002E-3</v>
      </c>
      <c r="E5" s="1">
        <f t="shared" si="0"/>
        <v>1.4000000000000002E-2</v>
      </c>
      <c r="F5" s="1">
        <f t="shared" si="0"/>
        <v>2.4E-2</v>
      </c>
      <c r="G5" s="1">
        <f t="shared" si="0"/>
        <v>1.4000000000000002E-2</v>
      </c>
      <c r="I5">
        <v>0.94</v>
      </c>
      <c r="J5">
        <v>0</v>
      </c>
      <c r="K5">
        <v>0.01</v>
      </c>
      <c r="L5">
        <v>0.01</v>
      </c>
      <c r="M5">
        <v>0.03</v>
      </c>
      <c r="N5">
        <v>0</v>
      </c>
      <c r="P5">
        <v>0.94</v>
      </c>
      <c r="Q5">
        <v>0.03</v>
      </c>
      <c r="R5">
        <v>0.01</v>
      </c>
      <c r="S5">
        <v>0</v>
      </c>
      <c r="T5">
        <v>0</v>
      </c>
      <c r="U5">
        <v>0.01</v>
      </c>
      <c r="W5">
        <v>0.92</v>
      </c>
      <c r="X5">
        <v>0</v>
      </c>
      <c r="Y5">
        <v>0.01</v>
      </c>
      <c r="Z5">
        <v>0</v>
      </c>
      <c r="AA5">
        <v>7.0000000000000007E-2</v>
      </c>
      <c r="AB5">
        <v>0</v>
      </c>
      <c r="AD5">
        <v>0.92</v>
      </c>
      <c r="AE5">
        <v>0</v>
      </c>
      <c r="AF5">
        <v>0.01</v>
      </c>
      <c r="AG5">
        <v>0.03</v>
      </c>
      <c r="AH5">
        <v>0.01</v>
      </c>
      <c r="AI5">
        <v>0.03</v>
      </c>
      <c r="AK5">
        <v>0.9</v>
      </c>
      <c r="AL5">
        <v>0.03</v>
      </c>
      <c r="AM5">
        <v>0</v>
      </c>
      <c r="AN5">
        <v>0.03</v>
      </c>
      <c r="AO5">
        <v>0.01</v>
      </c>
      <c r="AP5">
        <v>0.03</v>
      </c>
    </row>
    <row r="6" spans="1:42" x14ac:dyDescent="0.25">
      <c r="A6" t="s">
        <v>2</v>
      </c>
      <c r="B6" s="1">
        <f t="shared" ref="B6:B12" si="1">AVERAGE(I6,P6,W6,AD6,AK6)</f>
        <v>1.2E-2</v>
      </c>
      <c r="C6" s="11">
        <f>AVERAGE(J6,Q6,X6,AE6,AL6)</f>
        <v>0.88200000000000001</v>
      </c>
      <c r="D6" s="1">
        <f t="shared" ref="D6:D10" si="2">AVERAGE(K6,R6,Y6,AF6,AM6)</f>
        <v>1.2E-2</v>
      </c>
      <c r="E6" s="1">
        <f t="shared" ref="E6:E10" si="3">AVERAGE(L6,S6,Z6,AG6,AN6)</f>
        <v>3.7999999999999999E-2</v>
      </c>
      <c r="F6" s="1">
        <f t="shared" ref="F6:F10" si="4">AVERAGE(M6,T6,AA6,AH6,AO6)</f>
        <v>3.0000000000000006E-2</v>
      </c>
      <c r="G6" s="1">
        <f t="shared" ref="G6:G10" si="5">AVERAGE(N6,U6,AB6,AI6,AP6)</f>
        <v>3.0000000000000006E-2</v>
      </c>
      <c r="I6">
        <v>0.02</v>
      </c>
      <c r="J6">
        <v>0.85</v>
      </c>
      <c r="K6">
        <v>0.02</v>
      </c>
      <c r="L6">
        <v>0.03</v>
      </c>
      <c r="M6">
        <v>0.05</v>
      </c>
      <c r="N6">
        <v>0.03</v>
      </c>
      <c r="P6">
        <v>0</v>
      </c>
      <c r="Q6">
        <v>0.9</v>
      </c>
      <c r="R6">
        <v>0</v>
      </c>
      <c r="S6">
        <v>0.05</v>
      </c>
      <c r="T6">
        <v>0.02</v>
      </c>
      <c r="U6">
        <v>0.03</v>
      </c>
      <c r="W6">
        <v>0.02</v>
      </c>
      <c r="X6">
        <v>0.89</v>
      </c>
      <c r="Y6">
        <v>0.02</v>
      </c>
      <c r="Z6">
        <v>0.03</v>
      </c>
      <c r="AA6">
        <v>0.03</v>
      </c>
      <c r="AB6">
        <v>0.02</v>
      </c>
      <c r="AD6">
        <v>0.02</v>
      </c>
      <c r="AE6">
        <v>0.9</v>
      </c>
      <c r="AF6">
        <v>0</v>
      </c>
      <c r="AG6">
        <v>0.05</v>
      </c>
      <c r="AH6">
        <v>0.02</v>
      </c>
      <c r="AI6">
        <v>0.02</v>
      </c>
      <c r="AK6">
        <v>0</v>
      </c>
      <c r="AL6">
        <v>0.87</v>
      </c>
      <c r="AM6">
        <v>0.02</v>
      </c>
      <c r="AN6">
        <v>0.03</v>
      </c>
      <c r="AO6">
        <v>0.03</v>
      </c>
      <c r="AP6">
        <v>0.05</v>
      </c>
    </row>
    <row r="7" spans="1:42" x14ac:dyDescent="0.25">
      <c r="A7" t="s">
        <v>1</v>
      </c>
      <c r="B7" s="1">
        <f t="shared" si="1"/>
        <v>1.4000000000000002E-2</v>
      </c>
      <c r="C7" s="1">
        <f t="shared" ref="C6:C10" si="6">AVERAGE(J7,Q7,X7,AE7,AL7)</f>
        <v>0.17599999999999999</v>
      </c>
      <c r="D7" s="11">
        <f>AVERAGE(K7,R7,Y7,AF7,AM7)</f>
        <v>0.70399999999999996</v>
      </c>
      <c r="E7" s="1">
        <f t="shared" si="3"/>
        <v>0.01</v>
      </c>
      <c r="F7" s="1">
        <f t="shared" si="4"/>
        <v>1.6E-2</v>
      </c>
      <c r="G7" s="1">
        <f t="shared" si="5"/>
        <v>7.3999999999999996E-2</v>
      </c>
      <c r="I7">
        <v>0.01</v>
      </c>
      <c r="J7">
        <v>0.2</v>
      </c>
      <c r="K7">
        <v>0.71</v>
      </c>
      <c r="L7">
        <v>0.01</v>
      </c>
      <c r="M7">
        <v>0.01</v>
      </c>
      <c r="N7">
        <v>0.05</v>
      </c>
      <c r="P7">
        <v>0.03</v>
      </c>
      <c r="Q7">
        <v>0.12</v>
      </c>
      <c r="R7">
        <v>0.76</v>
      </c>
      <c r="S7">
        <v>0.01</v>
      </c>
      <c r="T7">
        <v>0</v>
      </c>
      <c r="U7">
        <v>0.09</v>
      </c>
      <c r="W7">
        <v>0.01</v>
      </c>
      <c r="X7">
        <v>0.19</v>
      </c>
      <c r="Y7">
        <v>0.68</v>
      </c>
      <c r="Z7">
        <v>0.01</v>
      </c>
      <c r="AA7">
        <v>0.01</v>
      </c>
      <c r="AB7">
        <v>0.09</v>
      </c>
      <c r="AD7">
        <v>0.01</v>
      </c>
      <c r="AE7">
        <v>0.19</v>
      </c>
      <c r="AF7">
        <v>0.65</v>
      </c>
      <c r="AG7">
        <v>0.01</v>
      </c>
      <c r="AH7">
        <v>0.05</v>
      </c>
      <c r="AI7">
        <v>0.08</v>
      </c>
      <c r="AK7">
        <v>0.01</v>
      </c>
      <c r="AL7">
        <v>0.18</v>
      </c>
      <c r="AM7">
        <v>0.72</v>
      </c>
      <c r="AN7">
        <v>0.01</v>
      </c>
      <c r="AO7">
        <v>0.01</v>
      </c>
      <c r="AP7">
        <v>0.06</v>
      </c>
    </row>
    <row r="8" spans="1:42" x14ac:dyDescent="0.25">
      <c r="A8" t="s">
        <v>3</v>
      </c>
      <c r="B8" s="1">
        <f t="shared" si="1"/>
        <v>0.24399999999999999</v>
      </c>
      <c r="C8" s="1">
        <f t="shared" si="6"/>
        <v>0.10800000000000001</v>
      </c>
      <c r="D8" s="1">
        <f t="shared" si="2"/>
        <v>7.2000000000000008E-2</v>
      </c>
      <c r="E8" s="11">
        <f>AVERAGE(L8,S8,Z8,AG8,AN8)</f>
        <v>0.43999999999999995</v>
      </c>
      <c r="F8" s="1">
        <f t="shared" si="4"/>
        <v>1.4000000000000002E-2</v>
      </c>
      <c r="G8" s="1">
        <f t="shared" si="5"/>
        <v>0.12</v>
      </c>
      <c r="I8">
        <v>0.26</v>
      </c>
      <c r="J8">
        <v>0.11</v>
      </c>
      <c r="K8">
        <v>0.08</v>
      </c>
      <c r="L8">
        <v>0.44</v>
      </c>
      <c r="M8">
        <v>0.01</v>
      </c>
      <c r="N8">
        <v>0.11</v>
      </c>
      <c r="P8">
        <v>0.2</v>
      </c>
      <c r="Q8">
        <v>0.1</v>
      </c>
      <c r="R8">
        <v>0.08</v>
      </c>
      <c r="S8">
        <v>0.47</v>
      </c>
      <c r="T8">
        <v>0.01</v>
      </c>
      <c r="U8">
        <v>0.13</v>
      </c>
      <c r="W8">
        <v>0.26</v>
      </c>
      <c r="X8">
        <v>0.12</v>
      </c>
      <c r="Y8">
        <v>0.06</v>
      </c>
      <c r="Z8">
        <v>0.41</v>
      </c>
      <c r="AA8">
        <v>0.01</v>
      </c>
      <c r="AB8">
        <v>0.13</v>
      </c>
      <c r="AD8">
        <v>0.25</v>
      </c>
      <c r="AE8">
        <v>0.11</v>
      </c>
      <c r="AF8">
        <v>7.0000000000000007E-2</v>
      </c>
      <c r="AG8">
        <v>0.44</v>
      </c>
      <c r="AH8">
        <v>0.02</v>
      </c>
      <c r="AI8">
        <v>0.11</v>
      </c>
      <c r="AK8">
        <v>0.25</v>
      </c>
      <c r="AL8">
        <v>0.1</v>
      </c>
      <c r="AM8">
        <v>7.0000000000000007E-2</v>
      </c>
      <c r="AN8">
        <v>0.44</v>
      </c>
      <c r="AO8">
        <v>0.02</v>
      </c>
      <c r="AP8">
        <v>0.12</v>
      </c>
    </row>
    <row r="9" spans="1:42" x14ac:dyDescent="0.25">
      <c r="A9" t="s">
        <v>4</v>
      </c>
      <c r="B9" s="1">
        <f t="shared" si="1"/>
        <v>0.154</v>
      </c>
      <c r="C9" s="1">
        <f t="shared" si="6"/>
        <v>0.29400000000000004</v>
      </c>
      <c r="D9" s="1">
        <f t="shared" si="2"/>
        <v>0.10400000000000001</v>
      </c>
      <c r="E9" s="1">
        <f t="shared" si="3"/>
        <v>0.06</v>
      </c>
      <c r="F9" s="11">
        <f>AVERAGE(M9,T9,AA9,AH9,AO9)</f>
        <v>0.23199999999999998</v>
      </c>
      <c r="G9" s="1">
        <f t="shared" si="5"/>
        <v>0.16200000000000001</v>
      </c>
      <c r="I9">
        <v>0.15</v>
      </c>
      <c r="J9">
        <v>0.26</v>
      </c>
      <c r="K9">
        <v>0.12</v>
      </c>
      <c r="L9">
        <v>7.0000000000000007E-2</v>
      </c>
      <c r="M9">
        <v>0.25</v>
      </c>
      <c r="N9">
        <v>0.17</v>
      </c>
      <c r="P9">
        <v>0.15</v>
      </c>
      <c r="Q9">
        <v>0.3</v>
      </c>
      <c r="R9">
        <v>0.1</v>
      </c>
      <c r="S9">
        <v>0.06</v>
      </c>
      <c r="T9">
        <v>0.22</v>
      </c>
      <c r="U9">
        <v>0.18</v>
      </c>
      <c r="W9">
        <v>0.15</v>
      </c>
      <c r="X9">
        <v>0.3</v>
      </c>
      <c r="Y9">
        <v>0.11</v>
      </c>
      <c r="Z9">
        <v>0.05</v>
      </c>
      <c r="AA9">
        <v>0.24</v>
      </c>
      <c r="AB9">
        <v>0.15</v>
      </c>
      <c r="AD9">
        <v>0.17</v>
      </c>
      <c r="AE9">
        <v>0.28999999999999998</v>
      </c>
      <c r="AF9">
        <v>0.08</v>
      </c>
      <c r="AG9">
        <v>0.06</v>
      </c>
      <c r="AH9">
        <v>0.24</v>
      </c>
      <c r="AI9">
        <v>0.16</v>
      </c>
      <c r="AK9">
        <v>0.15</v>
      </c>
      <c r="AL9">
        <v>0.32</v>
      </c>
      <c r="AM9">
        <v>0.11</v>
      </c>
      <c r="AN9">
        <v>0.06</v>
      </c>
      <c r="AO9">
        <v>0.21</v>
      </c>
      <c r="AP9">
        <v>0.15</v>
      </c>
    </row>
    <row r="10" spans="1:42" x14ac:dyDescent="0.25">
      <c r="A10" t="s">
        <v>5</v>
      </c>
      <c r="B10" s="1">
        <f t="shared" si="1"/>
        <v>0.128</v>
      </c>
      <c r="C10" s="1">
        <f t="shared" si="6"/>
        <v>4.0000000000000001E-3</v>
      </c>
      <c r="D10" s="1">
        <f t="shared" si="2"/>
        <v>1.6E-2</v>
      </c>
      <c r="E10" s="1">
        <f t="shared" si="3"/>
        <v>2.1999999999999999E-2</v>
      </c>
      <c r="F10" s="1">
        <f t="shared" si="4"/>
        <v>1.3999999999999999E-2</v>
      </c>
      <c r="G10" s="11">
        <f>AVERAGE(N10,U10,AB10,AI10,AP10)</f>
        <v>0.80599999999999983</v>
      </c>
      <c r="I10">
        <v>0.17</v>
      </c>
      <c r="J10">
        <v>0</v>
      </c>
      <c r="K10">
        <v>0.02</v>
      </c>
      <c r="L10">
        <v>0.02</v>
      </c>
      <c r="M10">
        <v>0.02</v>
      </c>
      <c r="N10">
        <v>0.76</v>
      </c>
      <c r="P10">
        <v>0.09</v>
      </c>
      <c r="Q10">
        <v>0</v>
      </c>
      <c r="R10">
        <v>0</v>
      </c>
      <c r="S10">
        <v>0.02</v>
      </c>
      <c r="T10">
        <v>0.02</v>
      </c>
      <c r="U10">
        <v>0.86</v>
      </c>
      <c r="W10">
        <v>0.11</v>
      </c>
      <c r="X10">
        <v>0.01</v>
      </c>
      <c r="Y10">
        <v>0.02</v>
      </c>
      <c r="Z10">
        <v>0.01</v>
      </c>
      <c r="AA10">
        <v>0</v>
      </c>
      <c r="AB10">
        <v>0.84</v>
      </c>
      <c r="AD10">
        <v>0.11</v>
      </c>
      <c r="AE10">
        <v>0</v>
      </c>
      <c r="AF10">
        <v>0.03</v>
      </c>
      <c r="AG10">
        <v>0.03</v>
      </c>
      <c r="AH10">
        <v>0.02</v>
      </c>
      <c r="AI10">
        <v>0.8</v>
      </c>
      <c r="AK10">
        <v>0.16</v>
      </c>
      <c r="AL10">
        <v>0.01</v>
      </c>
      <c r="AM10">
        <v>0.01</v>
      </c>
      <c r="AN10">
        <v>0.03</v>
      </c>
      <c r="AO10">
        <v>0.01</v>
      </c>
      <c r="AP10">
        <v>0.77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0.66400000000000003</v>
      </c>
      <c r="C12" s="1"/>
      <c r="D12" s="1"/>
      <c r="E12" s="1"/>
      <c r="F12" s="1"/>
      <c r="G12" s="1"/>
      <c r="I12">
        <v>0.66</v>
      </c>
      <c r="J12">
        <v>938</v>
      </c>
      <c r="P12">
        <v>0.69</v>
      </c>
      <c r="Q12">
        <v>934</v>
      </c>
      <c r="W12">
        <v>0.66</v>
      </c>
      <c r="X12">
        <v>935</v>
      </c>
      <c r="AD12">
        <v>0.66</v>
      </c>
      <c r="AE12">
        <v>936</v>
      </c>
      <c r="AK12">
        <v>0.65</v>
      </c>
      <c r="AL12">
        <v>937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0.84199999999999997</v>
      </c>
      <c r="C16" s="1">
        <f t="shared" ref="C16:C21" si="7">AVERAGE(J16,Q16,X16,AE16,AL16)</f>
        <v>0</v>
      </c>
      <c r="D16" s="1">
        <f t="shared" ref="D16:D21" si="8">AVERAGE(K16,R16,Y16,AF16,AM16)</f>
        <v>1.2E-2</v>
      </c>
      <c r="E16" s="1">
        <f t="shared" ref="E16:E21" si="9">AVERAGE(L16,S16,Z16,AG16,AN16)</f>
        <v>2.4E-2</v>
      </c>
      <c r="F16" s="1">
        <f t="shared" ref="F16:F21" si="10">AVERAGE(M16,T16,AA16,AH16,AO16)</f>
        <v>2.1999999999999999E-2</v>
      </c>
      <c r="G16" s="1">
        <f t="shared" ref="G16:G21" si="11">AVERAGE(N16,U16,AB16,AI16,AP16)</f>
        <v>0.10400000000000001</v>
      </c>
      <c r="I16">
        <v>0.88</v>
      </c>
      <c r="J16">
        <v>0</v>
      </c>
      <c r="K16">
        <v>0</v>
      </c>
      <c r="L16">
        <v>0</v>
      </c>
      <c r="M16">
        <v>0</v>
      </c>
      <c r="N16">
        <v>0.12</v>
      </c>
      <c r="P16">
        <v>0.83</v>
      </c>
      <c r="Q16">
        <v>0</v>
      </c>
      <c r="R16">
        <v>0</v>
      </c>
      <c r="S16">
        <v>0</v>
      </c>
      <c r="T16">
        <v>0</v>
      </c>
      <c r="U16">
        <v>0.17</v>
      </c>
      <c r="W16">
        <v>0.83</v>
      </c>
      <c r="X16">
        <v>0</v>
      </c>
      <c r="Y16">
        <v>0.06</v>
      </c>
      <c r="Z16">
        <v>0.06</v>
      </c>
      <c r="AA16">
        <v>0</v>
      </c>
      <c r="AB16">
        <v>0.06</v>
      </c>
      <c r="AD16">
        <v>0.89</v>
      </c>
      <c r="AE16">
        <v>0</v>
      </c>
      <c r="AF16">
        <v>0</v>
      </c>
      <c r="AG16">
        <v>0.06</v>
      </c>
      <c r="AH16">
        <v>0</v>
      </c>
      <c r="AI16">
        <v>0.06</v>
      </c>
      <c r="AK16">
        <v>0.78</v>
      </c>
      <c r="AL16">
        <v>0</v>
      </c>
      <c r="AM16">
        <v>0</v>
      </c>
      <c r="AN16">
        <v>0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3" si="12">AVERAGE(I17,P17,W17,AD17,AK17)</f>
        <v>0.04</v>
      </c>
      <c r="C17" s="11">
        <f>AVERAGE(J17,Q17,X17,AE17,AL17)</f>
        <v>0.69400000000000006</v>
      </c>
      <c r="D17" s="1">
        <f t="shared" si="8"/>
        <v>0.08</v>
      </c>
      <c r="E17" s="1">
        <f t="shared" si="9"/>
        <v>6.6000000000000003E-2</v>
      </c>
      <c r="F17" s="1">
        <f t="shared" si="10"/>
        <v>0.08</v>
      </c>
      <c r="G17" s="1">
        <f t="shared" si="11"/>
        <v>0.04</v>
      </c>
      <c r="I17">
        <v>7.0000000000000007E-2</v>
      </c>
      <c r="J17">
        <v>0.53</v>
      </c>
      <c r="K17">
        <v>7.0000000000000007E-2</v>
      </c>
      <c r="L17">
        <v>0</v>
      </c>
      <c r="M17">
        <v>0.2</v>
      </c>
      <c r="N17">
        <v>0.13</v>
      </c>
      <c r="P17">
        <v>0</v>
      </c>
      <c r="Q17">
        <v>0.81</v>
      </c>
      <c r="R17">
        <v>0.06</v>
      </c>
      <c r="S17">
        <v>0.06</v>
      </c>
      <c r="T17">
        <v>0.06</v>
      </c>
      <c r="U17">
        <v>0</v>
      </c>
      <c r="W17">
        <v>0</v>
      </c>
      <c r="X17">
        <v>0.8</v>
      </c>
      <c r="Y17">
        <v>7.0000000000000007E-2</v>
      </c>
      <c r="Z17">
        <v>0</v>
      </c>
      <c r="AA17">
        <v>7.0000000000000007E-2</v>
      </c>
      <c r="AB17">
        <v>7.0000000000000007E-2</v>
      </c>
      <c r="AD17">
        <v>0</v>
      </c>
      <c r="AE17">
        <v>0.6</v>
      </c>
      <c r="AF17">
        <v>0.13</v>
      </c>
      <c r="AG17">
        <v>0.27</v>
      </c>
      <c r="AH17">
        <v>0</v>
      </c>
      <c r="AI17">
        <v>0</v>
      </c>
      <c r="AK17">
        <v>0.13</v>
      </c>
      <c r="AL17">
        <v>0.73</v>
      </c>
      <c r="AM17">
        <v>7.0000000000000007E-2</v>
      </c>
      <c r="AN17">
        <v>0</v>
      </c>
      <c r="AO17">
        <v>7.0000000000000007E-2</v>
      </c>
      <c r="AP17">
        <v>0</v>
      </c>
    </row>
    <row r="18" spans="1:42" x14ac:dyDescent="0.25">
      <c r="A18" t="s">
        <v>1</v>
      </c>
      <c r="B18" s="1">
        <f t="shared" si="12"/>
        <v>4.2000000000000003E-2</v>
      </c>
      <c r="C18" s="1">
        <f t="shared" si="7"/>
        <v>0.29599999999999999</v>
      </c>
      <c r="D18" s="11">
        <f>AVERAGE(K18,R18,Y18,AF18,AM18)</f>
        <v>0.34799999999999998</v>
      </c>
      <c r="E18" s="1">
        <f t="shared" si="9"/>
        <v>0.05</v>
      </c>
      <c r="F18" s="1">
        <f t="shared" si="10"/>
        <v>7.9999999999999988E-2</v>
      </c>
      <c r="G18" s="1">
        <f t="shared" si="11"/>
        <v>0.184</v>
      </c>
      <c r="I18">
        <v>0</v>
      </c>
      <c r="J18">
        <v>0.32</v>
      </c>
      <c r="K18">
        <v>0.37</v>
      </c>
      <c r="L18">
        <v>0</v>
      </c>
      <c r="M18">
        <v>0.05</v>
      </c>
      <c r="N18">
        <v>0.26</v>
      </c>
      <c r="P18">
        <v>0.05</v>
      </c>
      <c r="Q18">
        <v>0.35</v>
      </c>
      <c r="R18">
        <v>0.25</v>
      </c>
      <c r="S18">
        <v>0.05</v>
      </c>
      <c r="T18">
        <v>0.05</v>
      </c>
      <c r="U18">
        <v>0.25</v>
      </c>
      <c r="W18">
        <v>0</v>
      </c>
      <c r="X18">
        <v>0.25</v>
      </c>
      <c r="Y18">
        <v>0.35</v>
      </c>
      <c r="Z18">
        <v>0.05</v>
      </c>
      <c r="AA18">
        <v>0.25</v>
      </c>
      <c r="AB18">
        <v>0.1</v>
      </c>
      <c r="AD18">
        <v>0</v>
      </c>
      <c r="AE18">
        <v>0.3</v>
      </c>
      <c r="AF18">
        <v>0.3</v>
      </c>
      <c r="AG18">
        <v>0.15</v>
      </c>
      <c r="AH18">
        <v>0.05</v>
      </c>
      <c r="AI18">
        <v>0.2</v>
      </c>
      <c r="AK18">
        <v>0.16</v>
      </c>
      <c r="AL18">
        <v>0.26</v>
      </c>
      <c r="AM18">
        <v>0.47</v>
      </c>
      <c r="AN18">
        <v>0</v>
      </c>
      <c r="AO18">
        <v>0</v>
      </c>
      <c r="AP18">
        <v>0.11</v>
      </c>
    </row>
    <row r="19" spans="1:42" x14ac:dyDescent="0.25">
      <c r="A19" t="s">
        <v>3</v>
      </c>
      <c r="B19" s="1">
        <f t="shared" si="12"/>
        <v>0.27200000000000002</v>
      </c>
      <c r="C19" s="1">
        <f t="shared" si="7"/>
        <v>0.12400000000000003</v>
      </c>
      <c r="D19" s="1">
        <f t="shared" si="8"/>
        <v>8.199999999999999E-2</v>
      </c>
      <c r="E19" s="11">
        <f>AVERAGE(L19,S19,Z19,AG19,AN19)</f>
        <v>0.37</v>
      </c>
      <c r="F19" s="1">
        <f t="shared" si="10"/>
        <v>2.2000000000000002E-2</v>
      </c>
      <c r="G19" s="1">
        <f t="shared" si="11"/>
        <v>0.13</v>
      </c>
      <c r="I19">
        <v>0.25</v>
      </c>
      <c r="J19">
        <v>0.11</v>
      </c>
      <c r="K19">
        <v>0.08</v>
      </c>
      <c r="L19">
        <v>0.39</v>
      </c>
      <c r="M19">
        <v>0.04</v>
      </c>
      <c r="N19">
        <v>0.14000000000000001</v>
      </c>
      <c r="P19">
        <v>0.28000000000000003</v>
      </c>
      <c r="Q19">
        <v>0.16</v>
      </c>
      <c r="R19">
        <v>0.09</v>
      </c>
      <c r="S19">
        <v>0.37</v>
      </c>
      <c r="T19">
        <v>0</v>
      </c>
      <c r="U19">
        <v>0.09</v>
      </c>
      <c r="W19">
        <v>0.31</v>
      </c>
      <c r="X19">
        <v>0.16</v>
      </c>
      <c r="Y19">
        <v>0.05</v>
      </c>
      <c r="Z19">
        <v>0.35</v>
      </c>
      <c r="AA19">
        <v>0.03</v>
      </c>
      <c r="AB19">
        <v>0.09</v>
      </c>
      <c r="AD19">
        <v>0.28000000000000003</v>
      </c>
      <c r="AE19">
        <v>0.06</v>
      </c>
      <c r="AF19">
        <v>7.0000000000000007E-2</v>
      </c>
      <c r="AG19">
        <v>0.34</v>
      </c>
      <c r="AH19">
        <v>0.04</v>
      </c>
      <c r="AI19">
        <v>0.21</v>
      </c>
      <c r="AK19">
        <v>0.24</v>
      </c>
      <c r="AL19">
        <v>0.13</v>
      </c>
      <c r="AM19">
        <v>0.12</v>
      </c>
      <c r="AN19">
        <v>0.4</v>
      </c>
      <c r="AO19">
        <v>0</v>
      </c>
      <c r="AP19">
        <v>0.12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0.30599999999999999</v>
      </c>
      <c r="D20" s="1">
        <f t="shared" si="8"/>
        <v>0.11600000000000002</v>
      </c>
      <c r="E20" s="1">
        <f t="shared" si="9"/>
        <v>7.8E-2</v>
      </c>
      <c r="F20" s="11">
        <f>AVERAGE(M20,T20,AA20,AH20,AO20)</f>
        <v>0.16599999999999998</v>
      </c>
      <c r="G20" s="1">
        <f t="shared" si="11"/>
        <v>0.16999999999999998</v>
      </c>
      <c r="I20">
        <v>0.12</v>
      </c>
      <c r="J20">
        <v>0.39</v>
      </c>
      <c r="K20">
        <v>0.14000000000000001</v>
      </c>
      <c r="L20">
        <v>0.01</v>
      </c>
      <c r="M20">
        <v>0.19</v>
      </c>
      <c r="N20">
        <v>0.15</v>
      </c>
      <c r="P20">
        <v>0.14000000000000001</v>
      </c>
      <c r="Q20">
        <v>0.3</v>
      </c>
      <c r="R20">
        <v>0.12</v>
      </c>
      <c r="S20">
        <v>0.12</v>
      </c>
      <c r="T20">
        <v>0.15</v>
      </c>
      <c r="U20">
        <v>0.18</v>
      </c>
      <c r="W20">
        <v>0.2</v>
      </c>
      <c r="X20">
        <v>0.32</v>
      </c>
      <c r="Y20">
        <v>0.08</v>
      </c>
      <c r="Z20">
        <v>0.03</v>
      </c>
      <c r="AA20">
        <v>0.2</v>
      </c>
      <c r="AB20">
        <v>0.16</v>
      </c>
      <c r="AD20">
        <v>0.16</v>
      </c>
      <c r="AE20">
        <v>0.34</v>
      </c>
      <c r="AF20">
        <v>0.12</v>
      </c>
      <c r="AG20">
        <v>0.12</v>
      </c>
      <c r="AH20">
        <v>0.18</v>
      </c>
      <c r="AI20">
        <v>0.08</v>
      </c>
      <c r="AK20">
        <v>0.2</v>
      </c>
      <c r="AL20">
        <v>0.18</v>
      </c>
      <c r="AM20">
        <v>0.12</v>
      </c>
      <c r="AN20">
        <v>0.11</v>
      </c>
      <c r="AO20">
        <v>0.11</v>
      </c>
      <c r="AP20">
        <v>0.28000000000000003</v>
      </c>
    </row>
    <row r="21" spans="1:42" x14ac:dyDescent="0.25">
      <c r="A21" t="s">
        <v>5</v>
      </c>
      <c r="B21" s="1">
        <f t="shared" si="12"/>
        <v>0.2</v>
      </c>
      <c r="C21" s="1">
        <f t="shared" si="7"/>
        <v>0</v>
      </c>
      <c r="D21" s="1">
        <f t="shared" si="8"/>
        <v>3.7999999999999999E-2</v>
      </c>
      <c r="E21" s="1">
        <f t="shared" si="9"/>
        <v>6.4000000000000001E-2</v>
      </c>
      <c r="F21" s="1">
        <f t="shared" si="10"/>
        <v>6.6000000000000003E-2</v>
      </c>
      <c r="G21" s="11">
        <f>AVERAGE(N21,U21,AB21,AI21,AP21)</f>
        <v>0.63800000000000001</v>
      </c>
      <c r="I21">
        <v>0.14000000000000001</v>
      </c>
      <c r="J21">
        <v>0</v>
      </c>
      <c r="K21">
        <v>0.09</v>
      </c>
      <c r="L21">
        <v>0.09</v>
      </c>
      <c r="M21">
        <v>0.09</v>
      </c>
      <c r="N21">
        <v>0.59</v>
      </c>
      <c r="P21">
        <v>0.23</v>
      </c>
      <c r="Q21">
        <v>0</v>
      </c>
      <c r="R21">
        <v>0.05</v>
      </c>
      <c r="S21">
        <v>0.09</v>
      </c>
      <c r="T21">
        <v>0.05</v>
      </c>
      <c r="U21">
        <v>0.59</v>
      </c>
      <c r="W21">
        <v>0.09</v>
      </c>
      <c r="X21">
        <v>0</v>
      </c>
      <c r="Y21">
        <v>0</v>
      </c>
      <c r="Z21">
        <v>0.14000000000000001</v>
      </c>
      <c r="AA21">
        <v>0.14000000000000001</v>
      </c>
      <c r="AB21">
        <v>0.64</v>
      </c>
      <c r="AD21">
        <v>0.36</v>
      </c>
      <c r="AE21">
        <v>0</v>
      </c>
      <c r="AF21">
        <v>0.05</v>
      </c>
      <c r="AG21">
        <v>0</v>
      </c>
      <c r="AH21">
        <v>0.05</v>
      </c>
      <c r="AI21">
        <v>0.55000000000000004</v>
      </c>
      <c r="AK21">
        <v>0.18</v>
      </c>
      <c r="AL21">
        <v>0</v>
      </c>
      <c r="AM21">
        <v>0</v>
      </c>
      <c r="AN21">
        <v>0</v>
      </c>
      <c r="AO21">
        <v>0</v>
      </c>
      <c r="AP21">
        <v>0.82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0.51</v>
      </c>
      <c r="C23" s="1"/>
      <c r="D23" s="1"/>
      <c r="E23" s="1"/>
      <c r="F23" s="1"/>
      <c r="G23" s="1"/>
      <c r="I23">
        <v>0.49</v>
      </c>
      <c r="J23">
        <v>232</v>
      </c>
      <c r="P23">
        <v>0.5</v>
      </c>
      <c r="Q23">
        <v>236</v>
      </c>
      <c r="W23">
        <v>0.53</v>
      </c>
      <c r="X23">
        <v>235</v>
      </c>
      <c r="AD23">
        <v>0.48</v>
      </c>
      <c r="AE23">
        <v>234</v>
      </c>
      <c r="AK23">
        <v>0.55000000000000004</v>
      </c>
      <c r="AL23">
        <v>233</v>
      </c>
    </row>
    <row r="27" spans="1:42" x14ac:dyDescent="0.25">
      <c r="B27" s="1"/>
      <c r="C27" s="1"/>
      <c r="D27" s="1"/>
      <c r="E27" s="1"/>
      <c r="F27" s="1"/>
      <c r="G27" s="1"/>
    </row>
    <row r="28" spans="1:42" x14ac:dyDescent="0.25">
      <c r="B28" s="1"/>
      <c r="C28" s="1"/>
      <c r="D28" s="1"/>
      <c r="E28" s="1"/>
      <c r="F28" s="1"/>
      <c r="G28" s="1"/>
    </row>
    <row r="29" spans="1:42" x14ac:dyDescent="0.25">
      <c r="B29" s="1"/>
      <c r="C29" s="1"/>
      <c r="D29" s="1"/>
      <c r="E29" s="1"/>
      <c r="F29" s="1"/>
      <c r="G29" s="1"/>
    </row>
    <row r="30" spans="1:42" x14ac:dyDescent="0.25">
      <c r="B30" s="1"/>
      <c r="C30" s="1"/>
      <c r="D30" s="1"/>
      <c r="E30" s="1"/>
      <c r="F30" s="1"/>
      <c r="G30" s="1"/>
    </row>
    <row r="31" spans="1:42" x14ac:dyDescent="0.25">
      <c r="B31" s="1"/>
      <c r="C31" s="1"/>
      <c r="D31" s="1"/>
      <c r="E31" s="1"/>
      <c r="F31" s="1"/>
      <c r="G31" s="1"/>
    </row>
    <row r="32" spans="1:42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54EBF-081D-489F-B9F2-EC7D80E811E5}">
  <sheetPr codeName="Arkusz8"/>
  <dimension ref="A4:AP50"/>
  <sheetViews>
    <sheetView zoomScaleNormal="100" workbookViewId="0">
      <selection activeCell="F23" sqref="F2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5">
        <f>AVERAGE(I5,P5,W5,AD5,AK5)</f>
        <v>0.99199999999999999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0" si="1">AVERAGE(I6,P6,W6,AD6,AK6)</f>
        <v>0</v>
      </c>
      <c r="C6" s="5">
        <f>AVERAGE(J6,Q6,X6,AE6,AL6)</f>
        <v>0.99</v>
      </c>
      <c r="D6" s="1">
        <f t="shared" ref="D6:D10" si="2">AVERAGE(K6,R6,Y6,AF6,AM6)</f>
        <v>4.0000000000000001E-3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9" si="5"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1.6E-2</v>
      </c>
      <c r="D7" s="5">
        <f>AVERAGE(K7,R7,Y7,AF7,AM7)</f>
        <v>0.96400000000000008</v>
      </c>
      <c r="E7" s="1">
        <f t="shared" si="3"/>
        <v>0.01</v>
      </c>
      <c r="F7" s="1">
        <f t="shared" si="4"/>
        <v>4.0000000000000001E-3</v>
      </c>
      <c r="G7" s="1">
        <f t="shared" si="5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1"/>
        <v>8.199999999999999E-2</v>
      </c>
      <c r="C8" s="1">
        <f t="shared" si="6"/>
        <v>7.400000000000001E-2</v>
      </c>
      <c r="D8" s="1">
        <f t="shared" si="2"/>
        <v>5.3999999999999992E-2</v>
      </c>
      <c r="E8" s="5">
        <f>AVERAGE(L8,S8,Z8,AG8,AN8)</f>
        <v>0.70399999999999996</v>
      </c>
      <c r="F8" s="1">
        <f t="shared" si="4"/>
        <v>0.02</v>
      </c>
      <c r="G8" s="1">
        <f t="shared" si="5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1"/>
        <v>0.10600000000000001</v>
      </c>
      <c r="C9" s="1">
        <f t="shared" si="6"/>
        <v>0.15400000000000003</v>
      </c>
      <c r="D9" s="1">
        <f t="shared" si="2"/>
        <v>0.10200000000000001</v>
      </c>
      <c r="E9" s="1">
        <f t="shared" si="3"/>
        <v>0.124</v>
      </c>
      <c r="F9" s="5">
        <f>AVERAGE(M9,T9,AA9,AH9,AO9)</f>
        <v>0.35</v>
      </c>
      <c r="G9" s="1">
        <f t="shared" si="5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1"/>
        <v>3.4000000000000002E-2</v>
      </c>
      <c r="C10" s="1">
        <f t="shared" si="6"/>
        <v>2E-3</v>
      </c>
      <c r="D10" s="1">
        <f t="shared" si="2"/>
        <v>2E-3</v>
      </c>
      <c r="E10" s="1">
        <f t="shared" si="3"/>
        <v>4.0000000000000001E-3</v>
      </c>
      <c r="F10" s="1">
        <f t="shared" si="4"/>
        <v>8.0000000000000002E-3</v>
      </c>
      <c r="G10" s="5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5">
        <f>AVERAGE(I16,P16,W16,AD16,AK16)</f>
        <v>0.53800000000000003</v>
      </c>
      <c r="C16" s="1">
        <f t="shared" ref="C16:C21" si="7">AVERAGE(J16,Q16,X16,AE16,AL16)</f>
        <v>1.2E-2</v>
      </c>
      <c r="D16" s="1">
        <f t="shared" ref="D16:D21" si="8">AVERAGE(K16,R16,Y16,AF16,AM16)</f>
        <v>4.8000000000000001E-2</v>
      </c>
      <c r="E16" s="1">
        <f t="shared" ref="E16:E21" si="9">AVERAGE(L16,S16,Z16,AG16,AN16)</f>
        <v>0.13400000000000001</v>
      </c>
      <c r="F16" s="1">
        <f t="shared" ref="F16:F21" si="10">AVERAGE(M16,T16,AA16,AH16,AO16)</f>
        <v>4.5999999999999999E-2</v>
      </c>
      <c r="G16" s="1">
        <f t="shared" ref="G16:G20" si="11"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5">
        <f>AVERAGE(J17,Q17,X17,AE17,AL17)</f>
        <v>0.53600000000000003</v>
      </c>
      <c r="D17" s="1">
        <f t="shared" si="8"/>
        <v>0.14399999999999999</v>
      </c>
      <c r="E17" s="1">
        <f t="shared" si="9"/>
        <v>0.21200000000000002</v>
      </c>
      <c r="F17" s="1">
        <f t="shared" si="10"/>
        <v>0.04</v>
      </c>
      <c r="G17" s="1">
        <f t="shared" si="1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7.5999999999999998E-2</v>
      </c>
      <c r="C18" s="1">
        <f t="shared" si="7"/>
        <v>0.36199999999999999</v>
      </c>
      <c r="D18" s="5">
        <f>AVERAGE(K18,R18,Y18,AF18,AM18)</f>
        <v>0.308</v>
      </c>
      <c r="E18" s="1">
        <f t="shared" si="9"/>
        <v>0.128</v>
      </c>
      <c r="F18" s="1">
        <f t="shared" si="10"/>
        <v>8.3999999999999991E-2</v>
      </c>
      <c r="G18" s="1">
        <f t="shared" si="1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2"/>
        <v>0.10999999999999999</v>
      </c>
      <c r="C19" s="1">
        <f t="shared" si="7"/>
        <v>0.13600000000000001</v>
      </c>
      <c r="D19" s="1">
        <f t="shared" si="8"/>
        <v>0.10600000000000001</v>
      </c>
      <c r="E19" s="5">
        <f>AVERAGE(L19,S19,Z19,AG19,AN19)</f>
        <v>0.48399999999999999</v>
      </c>
      <c r="F19" s="1">
        <f t="shared" si="10"/>
        <v>5.5999999999999994E-2</v>
      </c>
      <c r="G19" s="1">
        <f t="shared" si="1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0.182</v>
      </c>
      <c r="D20" s="1">
        <f t="shared" si="8"/>
        <v>0.156</v>
      </c>
      <c r="E20" s="1">
        <f t="shared" si="9"/>
        <v>0.17599999999999999</v>
      </c>
      <c r="F20" s="5">
        <f>AVERAGE(M20,T20,AA20,AH20,AO20)</f>
        <v>0.10799999999999998</v>
      </c>
      <c r="G20" s="1">
        <f t="shared" si="1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2"/>
        <v>0.3</v>
      </c>
      <c r="C21" s="1">
        <f t="shared" si="7"/>
        <v>4.5999999999999999E-2</v>
      </c>
      <c r="D21" s="1">
        <f t="shared" si="8"/>
        <v>7.5999999999999998E-2</v>
      </c>
      <c r="E21" s="1">
        <f t="shared" si="9"/>
        <v>5.6000000000000008E-2</v>
      </c>
      <c r="F21" s="1">
        <f t="shared" si="10"/>
        <v>0.11799999999999999</v>
      </c>
      <c r="G21" s="5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5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8" spans="1:42" x14ac:dyDescent="0.25">
      <c r="X28" t="s">
        <v>23</v>
      </c>
      <c r="Y28" t="s">
        <v>24</v>
      </c>
      <c r="Z28" t="s">
        <v>25</v>
      </c>
      <c r="AA28" t="s">
        <v>26</v>
      </c>
    </row>
    <row r="29" spans="1:42" x14ac:dyDescent="0.25">
      <c r="W29" t="s">
        <v>0</v>
      </c>
      <c r="X29">
        <v>89</v>
      </c>
      <c r="Y29">
        <v>71</v>
      </c>
      <c r="Z29">
        <v>18</v>
      </c>
      <c r="AA29" s="9">
        <f>Z29/(Y29+Z29)</f>
        <v>0.20224719101123595</v>
      </c>
    </row>
    <row r="30" spans="1:42" x14ac:dyDescent="0.25">
      <c r="W30" t="s">
        <v>2</v>
      </c>
      <c r="X30">
        <v>76</v>
      </c>
      <c r="Y30">
        <v>61</v>
      </c>
      <c r="Z30">
        <v>15</v>
      </c>
      <c r="AA30" s="9">
        <f t="shared" ref="AA30:AA33" si="13">Z30/(Y30+Z30)</f>
        <v>0.19736842105263158</v>
      </c>
    </row>
    <row r="31" spans="1:42" x14ac:dyDescent="0.25">
      <c r="G31" t="s">
        <v>0</v>
      </c>
      <c r="H31" t="s">
        <v>2</v>
      </c>
      <c r="I31" t="s">
        <v>1</v>
      </c>
      <c r="J31" t="s">
        <v>3</v>
      </c>
      <c r="K31" t="s">
        <v>4</v>
      </c>
      <c r="L31" t="s">
        <v>5</v>
      </c>
      <c r="M31" t="s">
        <v>0</v>
      </c>
      <c r="N31" t="s">
        <v>2</v>
      </c>
      <c r="O31" t="s">
        <v>1</v>
      </c>
      <c r="P31" t="s">
        <v>3</v>
      </c>
      <c r="Q31" t="s">
        <v>4</v>
      </c>
      <c r="R31" t="s">
        <v>5</v>
      </c>
      <c r="W31" t="s">
        <v>1</v>
      </c>
      <c r="X31">
        <v>94</v>
      </c>
      <c r="Y31">
        <v>75</v>
      </c>
      <c r="Z31">
        <v>19</v>
      </c>
      <c r="AA31" s="9">
        <f t="shared" si="13"/>
        <v>0.20212765957446807</v>
      </c>
    </row>
    <row r="32" spans="1:42" x14ac:dyDescent="0.25">
      <c r="F32" t="s">
        <v>0</v>
      </c>
      <c r="G32" s="5">
        <v>0.99199999999999999</v>
      </c>
      <c r="H32" s="1">
        <v>0</v>
      </c>
      <c r="I32" s="1">
        <v>4.0000000000000001E-3</v>
      </c>
      <c r="J32" s="1">
        <v>0</v>
      </c>
      <c r="K32" s="1">
        <v>2E-3</v>
      </c>
      <c r="L32" s="1">
        <v>2E-3</v>
      </c>
      <c r="M32" s="5">
        <v>0.97857142857142854</v>
      </c>
      <c r="N32" s="1">
        <v>0</v>
      </c>
      <c r="O32" s="1">
        <v>7.1428571428571435E-3</v>
      </c>
      <c r="P32" s="1">
        <v>0</v>
      </c>
      <c r="Q32" s="1">
        <v>0</v>
      </c>
      <c r="R32" s="1">
        <v>1.2857142857142857E-2</v>
      </c>
      <c r="W32" t="s">
        <v>3</v>
      </c>
      <c r="X32">
        <v>427</v>
      </c>
      <c r="Y32">
        <v>342</v>
      </c>
      <c r="Z32">
        <v>85</v>
      </c>
      <c r="AA32" s="9">
        <f t="shared" si="13"/>
        <v>0.19906323185011709</v>
      </c>
    </row>
    <row r="33" spans="6:27" x14ac:dyDescent="0.25">
      <c r="F33" t="s">
        <v>2</v>
      </c>
      <c r="G33" s="1">
        <v>0</v>
      </c>
      <c r="H33" s="5">
        <v>0.99</v>
      </c>
      <c r="I33" s="1">
        <v>4.0000000000000001E-3</v>
      </c>
      <c r="J33" s="1">
        <v>4.0000000000000001E-3</v>
      </c>
      <c r="K33" s="1">
        <v>0</v>
      </c>
      <c r="L33" s="1">
        <v>4.0000000000000001E-3</v>
      </c>
      <c r="M33" s="1">
        <v>2.8571428571428571E-3</v>
      </c>
      <c r="N33" s="5">
        <v>0.98142857142857154</v>
      </c>
      <c r="O33" s="1">
        <v>0</v>
      </c>
      <c r="P33" s="1">
        <v>8.5714285714285719E-3</v>
      </c>
      <c r="Q33" s="1">
        <v>5.7142857142857143E-3</v>
      </c>
      <c r="R33" s="1">
        <v>2.8571428571428571E-3</v>
      </c>
      <c r="W33" t="s">
        <v>4</v>
      </c>
      <c r="X33">
        <v>370</v>
      </c>
      <c r="Y33">
        <v>296</v>
      </c>
      <c r="Z33">
        <v>74</v>
      </c>
      <c r="AA33" s="9">
        <f t="shared" si="13"/>
        <v>0.2</v>
      </c>
    </row>
    <row r="34" spans="6:27" x14ac:dyDescent="0.25">
      <c r="F34" t="s">
        <v>1</v>
      </c>
      <c r="G34" s="1">
        <v>2E-3</v>
      </c>
      <c r="H34" s="1">
        <v>1.6E-2</v>
      </c>
      <c r="I34" s="5">
        <v>0.96400000000000008</v>
      </c>
      <c r="J34" s="1">
        <v>0.01</v>
      </c>
      <c r="K34" s="1">
        <v>4.0000000000000001E-3</v>
      </c>
      <c r="L34" s="1">
        <v>0</v>
      </c>
      <c r="M34" s="1">
        <v>1.4285714285714286E-3</v>
      </c>
      <c r="N34" s="1">
        <v>2.4285714285714289E-2</v>
      </c>
      <c r="O34" s="5">
        <v>0.95999999999999985</v>
      </c>
      <c r="P34" s="1">
        <v>1.4285714285714285E-2</v>
      </c>
      <c r="Q34" s="1">
        <v>1.4285714285714286E-3</v>
      </c>
      <c r="R34" s="1">
        <v>0</v>
      </c>
      <c r="W34" t="s">
        <v>5</v>
      </c>
      <c r="X34">
        <v>110</v>
      </c>
      <c r="Y34">
        <v>88</v>
      </c>
      <c r="Z34">
        <v>22</v>
      </c>
      <c r="AA34" s="9">
        <f>Z34/(Y34+Z34)</f>
        <v>0.2</v>
      </c>
    </row>
    <row r="35" spans="6:27" x14ac:dyDescent="0.25">
      <c r="F35" t="s">
        <v>3</v>
      </c>
      <c r="G35" s="1">
        <v>8.199999999999999E-2</v>
      </c>
      <c r="H35" s="1">
        <v>7.400000000000001E-2</v>
      </c>
      <c r="I35" s="1">
        <v>5.3999999999999992E-2</v>
      </c>
      <c r="J35" s="5">
        <v>0.70399999999999996</v>
      </c>
      <c r="K35" s="1">
        <v>0.02</v>
      </c>
      <c r="L35" s="1">
        <v>6.4000000000000001E-2</v>
      </c>
      <c r="M35" s="1">
        <v>7.0000000000000007E-2</v>
      </c>
      <c r="N35" s="1">
        <v>7.571428571428572E-2</v>
      </c>
      <c r="O35" s="1">
        <v>6.5714285714285711E-2</v>
      </c>
      <c r="P35" s="5">
        <v>0.68857142857142861</v>
      </c>
      <c r="Q35" s="1">
        <v>3.7142857142857144E-2</v>
      </c>
      <c r="R35" s="1">
        <v>6.7142857142857143E-2</v>
      </c>
      <c r="W35" t="s">
        <v>22</v>
      </c>
      <c r="X35">
        <v>1166</v>
      </c>
      <c r="Y35">
        <f>SUM(Y29:Y34)</f>
        <v>933</v>
      </c>
      <c r="Z35">
        <f>SUM(Z29:Z34)</f>
        <v>233</v>
      </c>
      <c r="AA35" s="9">
        <f>Z35/(Y35+Z35)</f>
        <v>0.19982847341337909</v>
      </c>
    </row>
    <row r="36" spans="6:27" x14ac:dyDescent="0.25">
      <c r="F36" t="s">
        <v>4</v>
      </c>
      <c r="G36" s="1">
        <v>0.10600000000000001</v>
      </c>
      <c r="H36" s="1">
        <v>0.15400000000000003</v>
      </c>
      <c r="I36" s="1">
        <v>0.10200000000000001</v>
      </c>
      <c r="J36" s="1">
        <v>0.124</v>
      </c>
      <c r="K36" s="5">
        <v>0.35</v>
      </c>
      <c r="L36" s="1">
        <v>0.16600000000000004</v>
      </c>
      <c r="M36" s="1">
        <v>0.11285714285714285</v>
      </c>
      <c r="N36" s="1">
        <v>0.16285714285714287</v>
      </c>
      <c r="O36" s="1">
        <v>0.11142857142857143</v>
      </c>
      <c r="P36" s="1">
        <v>0.12571428571428572</v>
      </c>
      <c r="Q36" s="5">
        <v>0.30285714285714288</v>
      </c>
      <c r="R36" s="1">
        <v>0.18285714285714286</v>
      </c>
    </row>
    <row r="37" spans="6:27" x14ac:dyDescent="0.25">
      <c r="F37" t="s">
        <v>5</v>
      </c>
      <c r="G37" s="1">
        <v>3.4000000000000002E-2</v>
      </c>
      <c r="H37" s="1">
        <v>2E-3</v>
      </c>
      <c r="I37" s="1">
        <v>2E-3</v>
      </c>
      <c r="J37" s="1">
        <v>4.0000000000000001E-3</v>
      </c>
      <c r="K37" s="1">
        <v>8.0000000000000002E-3</v>
      </c>
      <c r="L37" s="5">
        <v>0.95</v>
      </c>
      <c r="M37" s="1">
        <v>2.8571428571428574E-2</v>
      </c>
      <c r="N37" s="1">
        <v>1.4285714285714286E-3</v>
      </c>
      <c r="O37" s="1">
        <v>8.5714285714285719E-3</v>
      </c>
      <c r="P37" s="1">
        <v>8.5714285714285719E-3</v>
      </c>
      <c r="Q37" s="1">
        <v>7.1428571428571435E-3</v>
      </c>
      <c r="R37" s="5">
        <v>0.94285714285714284</v>
      </c>
    </row>
    <row r="38" spans="6:27" x14ac:dyDescent="0.25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6:27" x14ac:dyDescent="0.25">
      <c r="G39" s="5">
        <v>0.82400000000000007</v>
      </c>
      <c r="H39" s="1"/>
      <c r="I39" s="1"/>
      <c r="J39" s="1"/>
      <c r="K39" s="1"/>
      <c r="L39" s="1"/>
      <c r="M39" s="5">
        <v>0.80857142857142861</v>
      </c>
      <c r="N39" s="1"/>
      <c r="O39" s="1"/>
      <c r="P39" s="1"/>
      <c r="Q39" s="1"/>
      <c r="R39" s="1"/>
    </row>
    <row r="40" spans="6:27" x14ac:dyDescent="0.25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6:27" x14ac:dyDescent="0.25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6:27" x14ac:dyDescent="0.25">
      <c r="G42" t="s">
        <v>0</v>
      </c>
      <c r="H42" t="s">
        <v>2</v>
      </c>
      <c r="I42" t="s">
        <v>1</v>
      </c>
      <c r="J42" t="s">
        <v>3</v>
      </c>
      <c r="K42" t="s">
        <v>4</v>
      </c>
      <c r="L42" t="s">
        <v>5</v>
      </c>
      <c r="M42" t="s">
        <v>0</v>
      </c>
      <c r="N42" t="s">
        <v>2</v>
      </c>
      <c r="O42" t="s">
        <v>1</v>
      </c>
      <c r="P42" t="s">
        <v>3</v>
      </c>
      <c r="Q42" t="s">
        <v>4</v>
      </c>
      <c r="R42" t="s">
        <v>5</v>
      </c>
    </row>
    <row r="43" spans="6:27" x14ac:dyDescent="0.25">
      <c r="F43" t="s">
        <v>0</v>
      </c>
      <c r="G43" s="5">
        <v>0.53800000000000003</v>
      </c>
      <c r="H43" s="1">
        <v>1.2E-2</v>
      </c>
      <c r="I43" s="1">
        <v>4.8000000000000001E-2</v>
      </c>
      <c r="J43" s="1">
        <v>0.13400000000000001</v>
      </c>
      <c r="K43" s="1">
        <v>4.5999999999999999E-2</v>
      </c>
      <c r="L43" s="1">
        <v>0.22600000000000003</v>
      </c>
      <c r="M43" s="5">
        <v>0.55142857142857138</v>
      </c>
      <c r="N43" s="1">
        <v>1.1428571428571429E-2</v>
      </c>
      <c r="O43" s="1">
        <v>4.4285714285714282E-2</v>
      </c>
      <c r="P43" s="1">
        <v>0.10142857142857142</v>
      </c>
      <c r="Q43" s="1">
        <v>6.4285714285714279E-2</v>
      </c>
      <c r="R43" s="1">
        <v>0.22428571428571428</v>
      </c>
    </row>
    <row r="44" spans="6:27" x14ac:dyDescent="0.25">
      <c r="F44" t="s">
        <v>2</v>
      </c>
      <c r="G44" s="1">
        <v>2.8000000000000004E-2</v>
      </c>
      <c r="H44" s="5">
        <v>0.53600000000000003</v>
      </c>
      <c r="I44" s="1">
        <v>0.14399999999999999</v>
      </c>
      <c r="J44" s="1">
        <v>0.21200000000000002</v>
      </c>
      <c r="K44" s="1">
        <v>0.04</v>
      </c>
      <c r="L44" s="1">
        <v>0.04</v>
      </c>
      <c r="M44" s="1">
        <v>5.2857142857142859E-2</v>
      </c>
      <c r="N44" s="5">
        <v>0.49714285714285722</v>
      </c>
      <c r="O44" s="1">
        <v>0.22285714285714284</v>
      </c>
      <c r="P44" s="1">
        <v>9.2857142857142846E-2</v>
      </c>
      <c r="Q44" s="1">
        <v>0.10428571428571429</v>
      </c>
      <c r="R44" s="1">
        <v>2.7142857142857142E-2</v>
      </c>
    </row>
    <row r="45" spans="6:27" x14ac:dyDescent="0.25">
      <c r="F45" t="s">
        <v>1</v>
      </c>
      <c r="G45" s="1">
        <v>7.5999999999999998E-2</v>
      </c>
      <c r="H45" s="1">
        <v>0.36199999999999999</v>
      </c>
      <c r="I45" s="5">
        <v>0.308</v>
      </c>
      <c r="J45" s="1">
        <v>0.128</v>
      </c>
      <c r="K45" s="1">
        <v>8.3999999999999991E-2</v>
      </c>
      <c r="L45" s="1">
        <v>4.2000000000000003E-2</v>
      </c>
      <c r="M45" s="1">
        <v>5.4285714285714291E-2</v>
      </c>
      <c r="N45" s="1">
        <v>0.28714285714285709</v>
      </c>
      <c r="O45" s="5">
        <v>0.36428571428571432</v>
      </c>
      <c r="P45" s="1">
        <v>0.19999999999999998</v>
      </c>
      <c r="Q45" s="1">
        <v>6.1428571428571437E-2</v>
      </c>
      <c r="R45" s="1">
        <v>3.2857142857142863E-2</v>
      </c>
    </row>
    <row r="46" spans="6:27" x14ac:dyDescent="0.25">
      <c r="F46" t="s">
        <v>3</v>
      </c>
      <c r="G46" s="1">
        <v>0.10999999999999999</v>
      </c>
      <c r="H46" s="1">
        <v>0.13600000000000001</v>
      </c>
      <c r="I46" s="1">
        <v>0.10600000000000001</v>
      </c>
      <c r="J46" s="5">
        <v>0.48399999999999999</v>
      </c>
      <c r="K46" s="1">
        <v>5.5999999999999994E-2</v>
      </c>
      <c r="L46" s="1">
        <v>0.11200000000000002</v>
      </c>
      <c r="M46" s="1">
        <v>0.11857142857142855</v>
      </c>
      <c r="N46" s="1">
        <v>0.16285714285714287</v>
      </c>
      <c r="O46" s="1">
        <v>9.5714285714285738E-2</v>
      </c>
      <c r="P46" s="5">
        <v>0.46142857142857141</v>
      </c>
      <c r="Q46" s="1">
        <v>5.4285714285714284E-2</v>
      </c>
      <c r="R46" s="1">
        <v>0.10428571428571429</v>
      </c>
    </row>
    <row r="47" spans="6:27" x14ac:dyDescent="0.25">
      <c r="F47" t="s">
        <v>4</v>
      </c>
      <c r="G47" s="1">
        <v>0.16400000000000001</v>
      </c>
      <c r="H47" s="1">
        <v>0.182</v>
      </c>
      <c r="I47" s="1">
        <v>0.156</v>
      </c>
      <c r="J47" s="1">
        <v>0.17599999999999999</v>
      </c>
      <c r="K47" s="5">
        <v>0.10799999999999998</v>
      </c>
      <c r="L47" s="1">
        <v>0.21799999999999997</v>
      </c>
      <c r="M47" s="1">
        <v>0.1242857142857143</v>
      </c>
      <c r="N47" s="1">
        <v>0.16857142857142859</v>
      </c>
      <c r="O47" s="1">
        <v>0.16142857142857142</v>
      </c>
      <c r="P47" s="1">
        <v>0.18571428571428572</v>
      </c>
      <c r="Q47" s="5">
        <v>0.10714285714285714</v>
      </c>
      <c r="R47" s="1">
        <v>0.24857142857142853</v>
      </c>
    </row>
    <row r="48" spans="6:27" x14ac:dyDescent="0.25">
      <c r="F48" t="s">
        <v>5</v>
      </c>
      <c r="G48" s="1">
        <v>0.3</v>
      </c>
      <c r="H48" s="1">
        <v>4.5999999999999999E-2</v>
      </c>
      <c r="I48" s="1">
        <v>7.5999999999999998E-2</v>
      </c>
      <c r="J48" s="1">
        <v>5.6000000000000008E-2</v>
      </c>
      <c r="K48" s="1">
        <v>0.11799999999999999</v>
      </c>
      <c r="L48" s="5">
        <v>0.40800000000000003</v>
      </c>
      <c r="M48" s="1">
        <v>0.23714285714285716</v>
      </c>
      <c r="N48" s="1">
        <v>4.4285714285714282E-2</v>
      </c>
      <c r="O48" s="1">
        <v>7.571428571428572E-2</v>
      </c>
      <c r="P48" s="1">
        <v>8.1428571428571433E-2</v>
      </c>
      <c r="Q48" s="1">
        <v>8.1428571428571433E-2</v>
      </c>
      <c r="R48" s="5">
        <v>0.48142857142857143</v>
      </c>
    </row>
    <row r="49" spans="7:18" x14ac:dyDescent="0.25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7:18" x14ac:dyDescent="0.25">
      <c r="G50" s="5">
        <v>0.39800000000000002</v>
      </c>
      <c r="H50" s="1"/>
      <c r="I50" s="1"/>
      <c r="J50" s="1"/>
      <c r="K50" s="1"/>
      <c r="L50" s="1"/>
      <c r="M50" s="5">
        <v>0.40857142857142853</v>
      </c>
      <c r="N50" s="1"/>
      <c r="O50" s="1"/>
      <c r="P50" s="1"/>
      <c r="Q50" s="1"/>
      <c r="R50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86E97-776B-4370-92DE-CB363A795DFB}">
  <sheetPr codeName="Arkusz7"/>
  <dimension ref="B1:BS23"/>
  <sheetViews>
    <sheetView workbookViewId="0">
      <selection activeCell="M26" sqref="M26"/>
    </sheetView>
  </sheetViews>
  <sheetFormatPr defaultRowHeight="15" x14ac:dyDescent="0.25"/>
  <cols>
    <col min="2" max="2" width="9.5703125" bestFit="1" customWidth="1"/>
  </cols>
  <sheetData>
    <row r="1" spans="2:71" x14ac:dyDescent="0.25"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</row>
    <row r="2" spans="2:71" x14ac:dyDescent="0.25"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</row>
    <row r="3" spans="2:71" x14ac:dyDescent="0.25"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2:71" x14ac:dyDescent="0.25"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2:71" x14ac:dyDescent="0.25">
      <c r="B5" s="5">
        <f>AVERAGE(I5,P5,W5,AD5,AK5,AS5,AZ5,BG5,BN5)</f>
        <v>0.9833333333333335</v>
      </c>
      <c r="C5">
        <f t="shared" ref="C5:G5" si="0">AVERAGE(J5,Q5,X5,AE5,AL5)</f>
        <v>0</v>
      </c>
      <c r="D5">
        <f t="shared" si="0"/>
        <v>0</v>
      </c>
      <c r="E5">
        <f t="shared" si="0"/>
        <v>0</v>
      </c>
      <c r="F5">
        <f t="shared" si="0"/>
        <v>0</v>
      </c>
      <c r="G5">
        <f t="shared" si="0"/>
        <v>1.6E-2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0.98</v>
      </c>
      <c r="Q5">
        <v>0</v>
      </c>
      <c r="R5">
        <v>0</v>
      </c>
      <c r="S5">
        <v>0</v>
      </c>
      <c r="T5">
        <v>0</v>
      </c>
      <c r="U5">
        <v>0.02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0.97</v>
      </c>
      <c r="AE5">
        <v>0</v>
      </c>
      <c r="AF5">
        <v>0</v>
      </c>
      <c r="AG5">
        <v>0</v>
      </c>
      <c r="AH5">
        <v>0</v>
      </c>
      <c r="AI5">
        <v>0.03</v>
      </c>
      <c r="AK5">
        <v>0.97</v>
      </c>
      <c r="AL5">
        <v>0</v>
      </c>
      <c r="AM5">
        <v>0</v>
      </c>
      <c r="AN5">
        <v>0</v>
      </c>
      <c r="AO5">
        <v>0</v>
      </c>
      <c r="AP5">
        <v>0.03</v>
      </c>
      <c r="AQ5">
        <v>0.01</v>
      </c>
      <c r="AS5">
        <v>0.99</v>
      </c>
      <c r="AT5">
        <v>0</v>
      </c>
      <c r="AU5">
        <v>0</v>
      </c>
      <c r="AV5">
        <v>0</v>
      </c>
      <c r="AW5">
        <v>0.01</v>
      </c>
      <c r="AX5">
        <v>0</v>
      </c>
      <c r="AZ5">
        <v>0.98</v>
      </c>
      <c r="BA5">
        <v>0.01</v>
      </c>
      <c r="BB5">
        <v>0</v>
      </c>
      <c r="BC5">
        <v>0</v>
      </c>
      <c r="BD5">
        <v>0</v>
      </c>
      <c r="BE5">
        <v>0.01</v>
      </c>
      <c r="BG5">
        <v>0.96</v>
      </c>
      <c r="BH5">
        <v>0</v>
      </c>
      <c r="BI5">
        <v>0</v>
      </c>
      <c r="BJ5">
        <v>0</v>
      </c>
      <c r="BK5">
        <v>0</v>
      </c>
      <c r="BL5">
        <v>0.04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</row>
    <row r="6" spans="2:71" x14ac:dyDescent="0.25">
      <c r="B6">
        <f>AVERAGE(I6,P6,W6,AD6,AK6,AS6,AZ6,BG6,BN6)</f>
        <v>0</v>
      </c>
      <c r="C6" s="5">
        <f>AVERAGE(J6,Q6,X6,AE6,AL6,AT6,BA6,BH6,BO6)</f>
        <v>0.98111111111111116</v>
      </c>
      <c r="D6">
        <f t="shared" ref="D6:D10" si="1">AVERAGE(K6,R6,Y6,AF6,AM6)</f>
        <v>4.0000000000000001E-3</v>
      </c>
      <c r="E6">
        <f t="shared" ref="E6:E10" si="2">AVERAGE(L6,S6,Z6,AG6,AN6)</f>
        <v>0.01</v>
      </c>
      <c r="F6">
        <f t="shared" ref="F6:F10" si="3">AVERAGE(M6,T6,AA6,AH6,AO6)</f>
        <v>2E-3</v>
      </c>
      <c r="G6">
        <f t="shared" ref="G6:G9" si="4">AVERAGE(N6,U6,AB6,AI6,AP6)</f>
        <v>2E-3</v>
      </c>
      <c r="I6">
        <v>0</v>
      </c>
      <c r="J6">
        <v>0.99</v>
      </c>
      <c r="K6">
        <v>0</v>
      </c>
      <c r="L6">
        <v>0</v>
      </c>
      <c r="M6">
        <v>0</v>
      </c>
      <c r="N6">
        <v>0.01</v>
      </c>
      <c r="P6">
        <v>0</v>
      </c>
      <c r="Q6">
        <v>0.98</v>
      </c>
      <c r="R6">
        <v>0</v>
      </c>
      <c r="S6">
        <v>0.02</v>
      </c>
      <c r="T6">
        <v>0</v>
      </c>
      <c r="U6">
        <v>0</v>
      </c>
      <c r="W6">
        <v>0</v>
      </c>
      <c r="X6">
        <v>0.99</v>
      </c>
      <c r="Y6">
        <v>0.01</v>
      </c>
      <c r="Z6">
        <v>0</v>
      </c>
      <c r="AA6">
        <v>0</v>
      </c>
      <c r="AB6">
        <v>0</v>
      </c>
      <c r="AD6">
        <v>0</v>
      </c>
      <c r="AE6">
        <v>0.99</v>
      </c>
      <c r="AF6">
        <v>0</v>
      </c>
      <c r="AG6">
        <v>0</v>
      </c>
      <c r="AH6">
        <v>0.01</v>
      </c>
      <c r="AI6">
        <v>0</v>
      </c>
      <c r="AK6">
        <v>0</v>
      </c>
      <c r="AL6">
        <v>0.96</v>
      </c>
      <c r="AM6">
        <v>0.01</v>
      </c>
      <c r="AN6">
        <v>0.03</v>
      </c>
      <c r="AO6">
        <v>0</v>
      </c>
      <c r="AP6">
        <v>0</v>
      </c>
      <c r="AQ6">
        <v>0</v>
      </c>
      <c r="AS6">
        <v>0</v>
      </c>
      <c r="AT6">
        <v>0.97</v>
      </c>
      <c r="AU6">
        <v>0.02</v>
      </c>
      <c r="AV6">
        <v>0.02</v>
      </c>
      <c r="AW6">
        <v>0</v>
      </c>
      <c r="AX6">
        <v>0</v>
      </c>
      <c r="AZ6">
        <v>0</v>
      </c>
      <c r="BA6">
        <v>0.97</v>
      </c>
      <c r="BB6">
        <v>0.01</v>
      </c>
      <c r="BC6">
        <v>0.01</v>
      </c>
      <c r="BD6">
        <v>0</v>
      </c>
      <c r="BE6">
        <v>0</v>
      </c>
      <c r="BG6">
        <v>0</v>
      </c>
      <c r="BH6">
        <v>0.98</v>
      </c>
      <c r="BI6">
        <v>0</v>
      </c>
      <c r="BJ6">
        <v>0</v>
      </c>
      <c r="BK6">
        <v>0.02</v>
      </c>
      <c r="BL6">
        <v>0</v>
      </c>
      <c r="BN6">
        <v>0</v>
      </c>
      <c r="BO6">
        <v>1</v>
      </c>
      <c r="BP6">
        <v>0</v>
      </c>
      <c r="BQ6">
        <v>0</v>
      </c>
      <c r="BR6">
        <v>0</v>
      </c>
      <c r="BS6">
        <v>0</v>
      </c>
    </row>
    <row r="7" spans="2:71" x14ac:dyDescent="0.25">
      <c r="B7">
        <f t="shared" ref="B7:B10" si="5">AVERAGE(I7,P7,W7,AD7,AK7)</f>
        <v>0</v>
      </c>
      <c r="C7">
        <f t="shared" ref="C7:C10" si="6">AVERAGE(J7,Q7,X7,AE7,AL7)</f>
        <v>2.4E-2</v>
      </c>
      <c r="D7" s="5">
        <f>AVERAGE(K7,R7,Y7,AF7,AM7,AU7,BB7,BI7,BP7)</f>
        <v>0.9522222222222223</v>
      </c>
      <c r="E7">
        <f t="shared" si="2"/>
        <v>0.01</v>
      </c>
      <c r="F7">
        <f t="shared" si="3"/>
        <v>1.2E-2</v>
      </c>
      <c r="G7">
        <f t="shared" si="4"/>
        <v>0</v>
      </c>
      <c r="I7">
        <v>0</v>
      </c>
      <c r="J7">
        <v>0</v>
      </c>
      <c r="K7">
        <v>0.98</v>
      </c>
      <c r="L7">
        <v>0</v>
      </c>
      <c r="M7">
        <v>0.02</v>
      </c>
      <c r="N7">
        <v>0</v>
      </c>
      <c r="P7">
        <v>0</v>
      </c>
      <c r="Q7">
        <v>0.02</v>
      </c>
      <c r="R7">
        <v>0.96</v>
      </c>
      <c r="S7">
        <v>0</v>
      </c>
      <c r="T7">
        <v>0.01</v>
      </c>
      <c r="U7">
        <v>0</v>
      </c>
      <c r="W7">
        <v>0</v>
      </c>
      <c r="X7">
        <v>0.05</v>
      </c>
      <c r="Y7">
        <v>0.92</v>
      </c>
      <c r="Z7">
        <v>0.02</v>
      </c>
      <c r="AA7">
        <v>0.01</v>
      </c>
      <c r="AB7">
        <v>0</v>
      </c>
      <c r="AD7">
        <v>0</v>
      </c>
      <c r="AE7">
        <v>0.03</v>
      </c>
      <c r="AF7">
        <v>0.93</v>
      </c>
      <c r="AG7">
        <v>0.01</v>
      </c>
      <c r="AH7">
        <v>0.02</v>
      </c>
      <c r="AI7">
        <v>0</v>
      </c>
      <c r="AK7">
        <v>0</v>
      </c>
      <c r="AL7">
        <v>0.02</v>
      </c>
      <c r="AM7">
        <v>0.95</v>
      </c>
      <c r="AN7">
        <v>0.02</v>
      </c>
      <c r="AO7">
        <v>0</v>
      </c>
      <c r="AP7">
        <v>0</v>
      </c>
      <c r="AQ7">
        <v>0</v>
      </c>
      <c r="AS7">
        <v>0</v>
      </c>
      <c r="AT7">
        <v>0</v>
      </c>
      <c r="AU7">
        <v>0.99</v>
      </c>
      <c r="AV7">
        <v>0.01</v>
      </c>
      <c r="AW7">
        <v>0</v>
      </c>
      <c r="AX7">
        <v>0</v>
      </c>
      <c r="AZ7">
        <v>0</v>
      </c>
      <c r="BA7">
        <v>0.02</v>
      </c>
      <c r="BB7">
        <v>0.94</v>
      </c>
      <c r="BC7">
        <v>0</v>
      </c>
      <c r="BD7">
        <v>0.03</v>
      </c>
      <c r="BE7">
        <v>0</v>
      </c>
      <c r="BG7">
        <v>0</v>
      </c>
      <c r="BH7">
        <v>0.01</v>
      </c>
      <c r="BI7">
        <v>0.95</v>
      </c>
      <c r="BJ7">
        <v>0.03</v>
      </c>
      <c r="BK7">
        <v>0</v>
      </c>
      <c r="BL7">
        <v>0</v>
      </c>
      <c r="BN7">
        <v>0</v>
      </c>
      <c r="BO7">
        <v>0.02</v>
      </c>
      <c r="BP7">
        <v>0.95</v>
      </c>
      <c r="BQ7">
        <v>0.02</v>
      </c>
      <c r="BR7">
        <v>0</v>
      </c>
      <c r="BS7">
        <v>0</v>
      </c>
    </row>
    <row r="8" spans="2:71" x14ac:dyDescent="0.25">
      <c r="B8">
        <f t="shared" si="5"/>
        <v>7.8E-2</v>
      </c>
      <c r="C8">
        <f t="shared" si="6"/>
        <v>7.6000000000000012E-2</v>
      </c>
      <c r="D8">
        <f t="shared" si="1"/>
        <v>7.0000000000000007E-2</v>
      </c>
      <c r="E8" s="5">
        <f>AVERAGE(L8,S8,Z8,AG8,AN8,AV8,BC8,BJ8,BQ8)</f>
        <v>0.67999999999999994</v>
      </c>
      <c r="F8">
        <f t="shared" si="3"/>
        <v>3.4000000000000002E-2</v>
      </c>
      <c r="G8">
        <f t="shared" si="4"/>
        <v>6.0000000000000012E-2</v>
      </c>
      <c r="I8">
        <v>7.0000000000000007E-2</v>
      </c>
      <c r="J8">
        <v>0.08</v>
      </c>
      <c r="K8">
        <v>0.08</v>
      </c>
      <c r="L8">
        <v>0.7</v>
      </c>
      <c r="M8">
        <v>0.03</v>
      </c>
      <c r="N8">
        <v>0.04</v>
      </c>
      <c r="P8">
        <v>0.09</v>
      </c>
      <c r="Q8">
        <v>0.06</v>
      </c>
      <c r="R8">
        <v>7.0000000000000007E-2</v>
      </c>
      <c r="S8">
        <v>0.68</v>
      </c>
      <c r="T8">
        <v>0.04</v>
      </c>
      <c r="U8">
        <v>0.06</v>
      </c>
      <c r="W8">
        <v>0.09</v>
      </c>
      <c r="X8">
        <v>0.08</v>
      </c>
      <c r="Y8">
        <v>7.0000000000000007E-2</v>
      </c>
      <c r="Z8">
        <v>0.67</v>
      </c>
      <c r="AA8">
        <v>0.03</v>
      </c>
      <c r="AB8">
        <v>7.0000000000000007E-2</v>
      </c>
      <c r="AD8">
        <v>7.0000000000000007E-2</v>
      </c>
      <c r="AE8">
        <v>0.08</v>
      </c>
      <c r="AF8">
        <v>0.06</v>
      </c>
      <c r="AG8">
        <v>0.68</v>
      </c>
      <c r="AH8">
        <v>0.05</v>
      </c>
      <c r="AI8">
        <v>7.0000000000000007E-2</v>
      </c>
      <c r="AK8">
        <v>7.0000000000000007E-2</v>
      </c>
      <c r="AL8">
        <v>0.08</v>
      </c>
      <c r="AM8">
        <v>7.0000000000000007E-2</v>
      </c>
      <c r="AN8">
        <v>0.7</v>
      </c>
      <c r="AO8">
        <v>0.02</v>
      </c>
      <c r="AP8">
        <v>0.06</v>
      </c>
      <c r="AQ8">
        <v>7.0000000000000007E-2</v>
      </c>
      <c r="AS8">
        <v>0.1</v>
      </c>
      <c r="AT8">
        <v>0.1</v>
      </c>
      <c r="AU8">
        <v>7.0000000000000007E-2</v>
      </c>
      <c r="AV8">
        <v>0.66</v>
      </c>
      <c r="AW8">
        <v>0.02</v>
      </c>
      <c r="AX8">
        <v>0.05</v>
      </c>
      <c r="AZ8">
        <v>0.09</v>
      </c>
      <c r="BA8">
        <v>0.08</v>
      </c>
      <c r="BB8">
        <v>0.06</v>
      </c>
      <c r="BC8">
        <v>0.66</v>
      </c>
      <c r="BD8">
        <v>0.03</v>
      </c>
      <c r="BE8">
        <v>0.08</v>
      </c>
      <c r="BG8">
        <v>0.08</v>
      </c>
      <c r="BH8">
        <v>7.0000000000000007E-2</v>
      </c>
      <c r="BI8">
        <v>0.06</v>
      </c>
      <c r="BJ8">
        <v>0.69</v>
      </c>
      <c r="BK8">
        <v>0.03</v>
      </c>
      <c r="BL8">
        <v>0.06</v>
      </c>
      <c r="BN8">
        <v>0.06</v>
      </c>
      <c r="BO8">
        <v>0.1</v>
      </c>
      <c r="BP8">
        <v>0.06</v>
      </c>
      <c r="BQ8">
        <v>0.68</v>
      </c>
      <c r="BR8">
        <v>0.03</v>
      </c>
      <c r="BS8">
        <v>7.0000000000000007E-2</v>
      </c>
    </row>
    <row r="9" spans="2:71" x14ac:dyDescent="0.25">
      <c r="B9">
        <f t="shared" si="5"/>
        <v>0.10200000000000001</v>
      </c>
      <c r="C9">
        <f t="shared" si="6"/>
        <v>0.16200000000000003</v>
      </c>
      <c r="D9">
        <f t="shared" si="1"/>
        <v>9.1999999999999998E-2</v>
      </c>
      <c r="E9">
        <f t="shared" si="2"/>
        <v>0.13600000000000001</v>
      </c>
      <c r="F9" s="5">
        <f>AVERAGE(M9,T9,AA9,AH9,AO9,AW9,BD9,BK9,BR9)</f>
        <v>0.33111111111111113</v>
      </c>
      <c r="G9">
        <f t="shared" si="4"/>
        <v>0.17400000000000002</v>
      </c>
      <c r="I9">
        <v>0.09</v>
      </c>
      <c r="J9">
        <v>0.16</v>
      </c>
      <c r="K9">
        <v>0.09</v>
      </c>
      <c r="L9">
        <v>0.13</v>
      </c>
      <c r="M9">
        <v>0.33</v>
      </c>
      <c r="N9">
        <v>0.2</v>
      </c>
      <c r="P9">
        <v>0.08</v>
      </c>
      <c r="Q9">
        <v>0.14000000000000001</v>
      </c>
      <c r="R9">
        <v>0.09</v>
      </c>
      <c r="S9">
        <v>0.14000000000000001</v>
      </c>
      <c r="T9">
        <v>0.36</v>
      </c>
      <c r="U9">
        <v>0.19</v>
      </c>
      <c r="W9">
        <v>0.1</v>
      </c>
      <c r="X9">
        <v>0.16</v>
      </c>
      <c r="Y9">
        <v>0.13</v>
      </c>
      <c r="Z9">
        <v>0.12</v>
      </c>
      <c r="AA9">
        <v>0.31</v>
      </c>
      <c r="AB9">
        <v>0.17</v>
      </c>
      <c r="AD9">
        <v>0.11</v>
      </c>
      <c r="AE9">
        <v>0.18</v>
      </c>
      <c r="AF9">
        <v>0.05</v>
      </c>
      <c r="AG9">
        <v>0.14000000000000001</v>
      </c>
      <c r="AH9">
        <v>0.39</v>
      </c>
      <c r="AI9">
        <v>0.14000000000000001</v>
      </c>
      <c r="AK9">
        <v>0.13</v>
      </c>
      <c r="AL9">
        <v>0.17</v>
      </c>
      <c r="AM9">
        <v>0.1</v>
      </c>
      <c r="AN9">
        <v>0.15</v>
      </c>
      <c r="AO9">
        <v>0.28999999999999998</v>
      </c>
      <c r="AP9">
        <v>0.17</v>
      </c>
      <c r="AQ9">
        <v>0.16</v>
      </c>
      <c r="AS9">
        <v>0.11</v>
      </c>
      <c r="AT9">
        <v>0.14000000000000001</v>
      </c>
      <c r="AU9">
        <v>0.11</v>
      </c>
      <c r="AV9">
        <v>0.13</v>
      </c>
      <c r="AW9">
        <v>0.36</v>
      </c>
      <c r="AX9">
        <v>0.14000000000000001</v>
      </c>
      <c r="AZ9">
        <v>0.11</v>
      </c>
      <c r="BA9">
        <v>0.16</v>
      </c>
      <c r="BB9">
        <v>0.13</v>
      </c>
      <c r="BC9">
        <v>0.15</v>
      </c>
      <c r="BD9">
        <v>0.27</v>
      </c>
      <c r="BE9">
        <v>0.18</v>
      </c>
      <c r="BG9">
        <v>0.1</v>
      </c>
      <c r="BH9">
        <v>0.17</v>
      </c>
      <c r="BI9">
        <v>0.09</v>
      </c>
      <c r="BJ9">
        <v>0.13</v>
      </c>
      <c r="BK9">
        <v>0.37</v>
      </c>
      <c r="BL9">
        <v>0.15</v>
      </c>
      <c r="BN9">
        <v>0.09</v>
      </c>
      <c r="BO9">
        <v>0.16</v>
      </c>
      <c r="BP9">
        <v>0.12</v>
      </c>
      <c r="BQ9">
        <v>0.14000000000000001</v>
      </c>
      <c r="BR9">
        <v>0.3</v>
      </c>
      <c r="BS9">
        <v>0.19</v>
      </c>
    </row>
    <row r="10" spans="2:71" x14ac:dyDescent="0.25">
      <c r="B10">
        <f t="shared" si="5"/>
        <v>2.6000000000000002E-2</v>
      </c>
      <c r="C10">
        <f t="shared" si="6"/>
        <v>4.0000000000000001E-3</v>
      </c>
      <c r="D10">
        <f t="shared" si="1"/>
        <v>6.0000000000000001E-3</v>
      </c>
      <c r="E10">
        <f t="shared" si="2"/>
        <v>8.0000000000000002E-3</v>
      </c>
      <c r="F10">
        <f t="shared" si="3"/>
        <v>6.0000000000000001E-3</v>
      </c>
      <c r="G10" s="5">
        <f>AVERAGE(N10,U10,AB10,AI10,AP10,AX10,BE10,BL10,BS10)</f>
        <v>0.95555555555555549</v>
      </c>
      <c r="I10">
        <v>0.03</v>
      </c>
      <c r="J10">
        <v>0</v>
      </c>
      <c r="K10">
        <v>0</v>
      </c>
      <c r="L10">
        <v>0</v>
      </c>
      <c r="M10">
        <v>0.02</v>
      </c>
      <c r="N10">
        <v>0.95</v>
      </c>
      <c r="P10">
        <v>0.02</v>
      </c>
      <c r="Q10">
        <v>0.01</v>
      </c>
      <c r="R10">
        <v>0.01</v>
      </c>
      <c r="S10">
        <v>0</v>
      </c>
      <c r="T10">
        <v>0</v>
      </c>
      <c r="U10">
        <v>0.96</v>
      </c>
      <c r="W10">
        <v>0.02</v>
      </c>
      <c r="X10">
        <v>0</v>
      </c>
      <c r="Y10">
        <v>0</v>
      </c>
      <c r="Z10">
        <v>0.01</v>
      </c>
      <c r="AA10">
        <v>0.01</v>
      </c>
      <c r="AB10">
        <v>0.96</v>
      </c>
      <c r="AD10">
        <v>0.02</v>
      </c>
      <c r="AE10">
        <v>0</v>
      </c>
      <c r="AF10">
        <v>0.01</v>
      </c>
      <c r="AG10">
        <v>0.01</v>
      </c>
      <c r="AH10">
        <v>0</v>
      </c>
      <c r="AI10">
        <v>0.96</v>
      </c>
      <c r="AK10">
        <v>0.04</v>
      </c>
      <c r="AL10">
        <v>0.01</v>
      </c>
      <c r="AM10">
        <v>0.01</v>
      </c>
      <c r="AN10">
        <v>0.02</v>
      </c>
      <c r="AO10">
        <v>0</v>
      </c>
      <c r="AP10">
        <v>0.92</v>
      </c>
      <c r="AQ10">
        <v>0.96</v>
      </c>
      <c r="AS10">
        <v>0.01</v>
      </c>
      <c r="AT10">
        <v>0</v>
      </c>
      <c r="AU10">
        <v>0</v>
      </c>
      <c r="AV10">
        <v>0</v>
      </c>
      <c r="AW10">
        <v>0</v>
      </c>
      <c r="AX10">
        <v>0.99</v>
      </c>
      <c r="AZ10">
        <v>0.05</v>
      </c>
      <c r="BA10">
        <v>0</v>
      </c>
      <c r="BB10">
        <v>0.01</v>
      </c>
      <c r="BC10">
        <v>0</v>
      </c>
      <c r="BD10">
        <v>0.01</v>
      </c>
      <c r="BE10">
        <v>0.93</v>
      </c>
      <c r="BG10">
        <v>0.01</v>
      </c>
      <c r="BH10">
        <v>0</v>
      </c>
      <c r="BI10">
        <v>0</v>
      </c>
      <c r="BJ10">
        <v>0</v>
      </c>
      <c r="BK10">
        <v>0.02</v>
      </c>
      <c r="BL10">
        <v>0.97</v>
      </c>
      <c r="BN10">
        <v>0.02</v>
      </c>
      <c r="BO10">
        <v>0</v>
      </c>
      <c r="BP10">
        <v>0</v>
      </c>
      <c r="BQ10">
        <v>0.02</v>
      </c>
      <c r="BR10">
        <v>0</v>
      </c>
      <c r="BS10">
        <v>0.96</v>
      </c>
    </row>
    <row r="12" spans="2:71" x14ac:dyDescent="0.25">
      <c r="B12" s="5">
        <f>AVERAGE(I12,P12,W12,AD12,AK12,AS12,AZ12,BG12,BN12)</f>
        <v>0.81444444444444453</v>
      </c>
      <c r="I12">
        <v>0.82</v>
      </c>
      <c r="P12">
        <v>0.82</v>
      </c>
      <c r="W12">
        <v>0.81</v>
      </c>
      <c r="AD12">
        <v>0.82</v>
      </c>
      <c r="AK12">
        <v>0.8</v>
      </c>
      <c r="AQ12">
        <v>0</v>
      </c>
      <c r="AS12">
        <v>0.83</v>
      </c>
      <c r="AT12">
        <v>0</v>
      </c>
      <c r="AU12">
        <v>0</v>
      </c>
      <c r="AV12">
        <v>0</v>
      </c>
      <c r="AW12">
        <v>0</v>
      </c>
      <c r="AX12">
        <v>0</v>
      </c>
      <c r="AZ12">
        <v>0.79</v>
      </c>
      <c r="BA12">
        <v>0</v>
      </c>
      <c r="BB12">
        <v>0</v>
      </c>
      <c r="BC12">
        <v>0</v>
      </c>
      <c r="BD12">
        <v>0</v>
      </c>
      <c r="BE12">
        <v>0</v>
      </c>
      <c r="BG12">
        <v>0.82</v>
      </c>
      <c r="BH12">
        <v>0</v>
      </c>
      <c r="BI12">
        <v>0</v>
      </c>
      <c r="BJ12">
        <v>0</v>
      </c>
      <c r="BK12">
        <v>0</v>
      </c>
      <c r="BL12">
        <v>0</v>
      </c>
      <c r="BN12">
        <v>0.82</v>
      </c>
      <c r="BO12">
        <v>0</v>
      </c>
      <c r="BP12">
        <v>0</v>
      </c>
      <c r="BQ12">
        <v>0</v>
      </c>
      <c r="BR12">
        <v>0</v>
      </c>
      <c r="BS12">
        <v>0</v>
      </c>
    </row>
    <row r="16" spans="2:71" x14ac:dyDescent="0.25">
      <c r="B16" s="5">
        <f>AVERAGE(I16,P16,W16,AD16,AK16,AS16,AZ16,BG16,BN16)</f>
        <v>0.63222222222222224</v>
      </c>
      <c r="C16">
        <f t="shared" ref="C16:C21" si="7">AVERAGE(J16,Q16,X16,AE16,AL16)</f>
        <v>0</v>
      </c>
      <c r="D16">
        <f t="shared" ref="D16:D21" si="8">AVERAGE(K16,R16,Y16,AF16,AM16)</f>
        <v>2.8000000000000004E-2</v>
      </c>
      <c r="E16">
        <f t="shared" ref="E16:E21" si="9">AVERAGE(L16,S16,Z16,AG16,AN16)</f>
        <v>7.1999999999999995E-2</v>
      </c>
      <c r="F16">
        <f t="shared" ref="F16:F21" si="10">AVERAGE(M16,T16,AA16,AH16,AO16)</f>
        <v>0.02</v>
      </c>
      <c r="G16">
        <f t="shared" ref="G16:G20" si="11">AVERAGE(N16,U16,AB16,AI16,AP16)</f>
        <v>0.21000000000000002</v>
      </c>
      <c r="I16">
        <v>0.6</v>
      </c>
      <c r="J16">
        <v>0</v>
      </c>
      <c r="K16">
        <v>0</v>
      </c>
      <c r="L16">
        <v>0</v>
      </c>
      <c r="M16">
        <v>0.1</v>
      </c>
      <c r="N16">
        <v>0.3</v>
      </c>
      <c r="P16">
        <v>0.56999999999999995</v>
      </c>
      <c r="Q16">
        <v>0</v>
      </c>
      <c r="R16">
        <v>0.14000000000000001</v>
      </c>
      <c r="S16">
        <v>0.14000000000000001</v>
      </c>
      <c r="T16">
        <v>0</v>
      </c>
      <c r="U16">
        <v>0.14000000000000001</v>
      </c>
      <c r="W16">
        <v>0.8</v>
      </c>
      <c r="X16">
        <v>0</v>
      </c>
      <c r="Y16">
        <v>0</v>
      </c>
      <c r="Z16">
        <v>0.13</v>
      </c>
      <c r="AA16">
        <v>0</v>
      </c>
      <c r="AB16">
        <v>7.0000000000000007E-2</v>
      </c>
      <c r="AD16">
        <v>0.91</v>
      </c>
      <c r="AE16">
        <v>0</v>
      </c>
      <c r="AF16">
        <v>0</v>
      </c>
      <c r="AG16">
        <v>0</v>
      </c>
      <c r="AH16">
        <v>0</v>
      </c>
      <c r="AI16">
        <v>0.09</v>
      </c>
      <c r="AK16">
        <v>0.45</v>
      </c>
      <c r="AL16">
        <v>0</v>
      </c>
      <c r="AM16">
        <v>0</v>
      </c>
      <c r="AN16">
        <v>0.09</v>
      </c>
      <c r="AO16">
        <v>0</v>
      </c>
      <c r="AP16">
        <v>0.45</v>
      </c>
      <c r="AQ16">
        <v>0.13</v>
      </c>
      <c r="AS16">
        <v>0.56000000000000005</v>
      </c>
      <c r="AT16">
        <v>0</v>
      </c>
      <c r="AU16">
        <v>0</v>
      </c>
      <c r="AV16">
        <v>0.11</v>
      </c>
      <c r="AW16">
        <v>0.11</v>
      </c>
      <c r="AX16">
        <v>0.22</v>
      </c>
      <c r="AZ16">
        <v>0.5</v>
      </c>
      <c r="BA16">
        <v>0</v>
      </c>
      <c r="BB16">
        <v>0</v>
      </c>
      <c r="BC16">
        <v>0</v>
      </c>
      <c r="BD16">
        <v>0</v>
      </c>
      <c r="BE16">
        <v>0.5</v>
      </c>
      <c r="BG16">
        <v>0.67</v>
      </c>
      <c r="BH16">
        <v>0</v>
      </c>
      <c r="BI16">
        <v>0.17</v>
      </c>
      <c r="BJ16">
        <v>0</v>
      </c>
      <c r="BK16">
        <v>0.17</v>
      </c>
      <c r="BL16">
        <v>0</v>
      </c>
      <c r="BN16">
        <v>0.63</v>
      </c>
      <c r="BO16">
        <v>0</v>
      </c>
      <c r="BP16">
        <v>0.13</v>
      </c>
      <c r="BQ16">
        <v>0.13</v>
      </c>
      <c r="BR16">
        <v>0</v>
      </c>
      <c r="BS16">
        <v>0.13</v>
      </c>
    </row>
    <row r="17" spans="2:71" x14ac:dyDescent="0.25">
      <c r="B17">
        <f t="shared" ref="B17:B21" si="12">AVERAGE(I17,P17,W17,AD17,AK17)</f>
        <v>0</v>
      </c>
      <c r="C17" s="5">
        <f>AVERAGE(J17,Q17,X17,AE17,AL17,AT17,BA17,BH17,BO17)</f>
        <v>0.65777777777777779</v>
      </c>
      <c r="D17">
        <f t="shared" si="8"/>
        <v>0.19800000000000001</v>
      </c>
      <c r="E17">
        <f t="shared" si="9"/>
        <v>4.8000000000000001E-2</v>
      </c>
      <c r="F17">
        <f t="shared" si="10"/>
        <v>0.11600000000000002</v>
      </c>
      <c r="G17">
        <f t="shared" si="11"/>
        <v>2.1999999999999999E-2</v>
      </c>
      <c r="I17">
        <v>0</v>
      </c>
      <c r="J17">
        <v>0.22</v>
      </c>
      <c r="K17">
        <v>0.22</v>
      </c>
      <c r="L17">
        <v>0</v>
      </c>
      <c r="M17">
        <v>0.44</v>
      </c>
      <c r="N17">
        <v>0.11</v>
      </c>
      <c r="P17">
        <v>0</v>
      </c>
      <c r="Q17">
        <v>0.7</v>
      </c>
      <c r="R17">
        <v>0.2</v>
      </c>
      <c r="S17">
        <v>0.1</v>
      </c>
      <c r="T17">
        <v>0</v>
      </c>
      <c r="U17">
        <v>0</v>
      </c>
      <c r="W17">
        <v>0</v>
      </c>
      <c r="X17">
        <v>0.56999999999999995</v>
      </c>
      <c r="Y17">
        <v>0.43</v>
      </c>
      <c r="Z17">
        <v>0</v>
      </c>
      <c r="AA17">
        <v>0</v>
      </c>
      <c r="AB17">
        <v>0</v>
      </c>
      <c r="AD17">
        <v>0</v>
      </c>
      <c r="AE17">
        <v>0.56999999999999995</v>
      </c>
      <c r="AF17">
        <v>0.14000000000000001</v>
      </c>
      <c r="AG17">
        <v>0.14000000000000001</v>
      </c>
      <c r="AH17">
        <v>0.14000000000000001</v>
      </c>
      <c r="AI17">
        <v>0</v>
      </c>
      <c r="AK17">
        <v>0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0.13</v>
      </c>
      <c r="AS17">
        <v>0.2</v>
      </c>
      <c r="AT17">
        <v>0.5</v>
      </c>
      <c r="AU17">
        <v>0.1</v>
      </c>
      <c r="AV17">
        <v>0.2</v>
      </c>
      <c r="AW17">
        <v>0</v>
      </c>
      <c r="AX17">
        <v>0</v>
      </c>
      <c r="AZ17">
        <v>0</v>
      </c>
      <c r="BA17">
        <v>1</v>
      </c>
      <c r="BB17">
        <v>0</v>
      </c>
      <c r="BC17">
        <v>0</v>
      </c>
      <c r="BD17">
        <v>0</v>
      </c>
      <c r="BE17">
        <v>0</v>
      </c>
      <c r="BG17">
        <v>0</v>
      </c>
      <c r="BH17">
        <v>0.8</v>
      </c>
      <c r="BI17">
        <v>0.1</v>
      </c>
      <c r="BJ17">
        <v>0.1</v>
      </c>
      <c r="BK17">
        <v>0</v>
      </c>
      <c r="BL17">
        <v>0</v>
      </c>
      <c r="BN17">
        <v>0</v>
      </c>
      <c r="BO17">
        <v>0.56000000000000005</v>
      </c>
      <c r="BP17">
        <v>0.22</v>
      </c>
      <c r="BQ17">
        <v>0.11</v>
      </c>
      <c r="BR17">
        <v>0.11</v>
      </c>
      <c r="BS17">
        <v>0</v>
      </c>
    </row>
    <row r="18" spans="2:71" x14ac:dyDescent="0.25">
      <c r="B18">
        <f t="shared" si="12"/>
        <v>0.11000000000000001</v>
      </c>
      <c r="C18">
        <f t="shared" si="7"/>
        <v>0.28399999999999997</v>
      </c>
      <c r="D18" s="5">
        <f>AVERAGE(K18,R18,Y18,AF18,AM18,AU18,BB18,BI18,BP18)</f>
        <v>0.36111111111111116</v>
      </c>
      <c r="E18">
        <f t="shared" si="9"/>
        <v>0.23799999999999999</v>
      </c>
      <c r="F18">
        <f t="shared" si="10"/>
        <v>2.6000000000000002E-2</v>
      </c>
      <c r="G18">
        <f t="shared" si="11"/>
        <v>0</v>
      </c>
      <c r="I18">
        <v>0.09</v>
      </c>
      <c r="J18">
        <v>0.45</v>
      </c>
      <c r="K18">
        <v>0.27</v>
      </c>
      <c r="L18">
        <v>0.18</v>
      </c>
      <c r="M18">
        <v>0</v>
      </c>
      <c r="N18">
        <v>0</v>
      </c>
      <c r="P18">
        <v>0.08</v>
      </c>
      <c r="Q18">
        <v>0.08</v>
      </c>
      <c r="R18">
        <v>0.33</v>
      </c>
      <c r="S18">
        <v>0.5</v>
      </c>
      <c r="T18">
        <v>0</v>
      </c>
      <c r="U18">
        <v>0</v>
      </c>
      <c r="W18">
        <v>0.13</v>
      </c>
      <c r="X18">
        <v>0.38</v>
      </c>
      <c r="Y18">
        <v>0.38</v>
      </c>
      <c r="Z18">
        <v>0.13</v>
      </c>
      <c r="AA18">
        <v>0</v>
      </c>
      <c r="AB18">
        <v>0</v>
      </c>
      <c r="AD18">
        <v>0.25</v>
      </c>
      <c r="AE18">
        <v>0.38</v>
      </c>
      <c r="AF18">
        <v>0.38</v>
      </c>
      <c r="AG18">
        <v>0</v>
      </c>
      <c r="AH18">
        <v>0</v>
      </c>
      <c r="AI18">
        <v>0</v>
      </c>
      <c r="AK18">
        <v>0</v>
      </c>
      <c r="AL18">
        <v>0.13</v>
      </c>
      <c r="AM18">
        <v>0.38</v>
      </c>
      <c r="AN18">
        <v>0.38</v>
      </c>
      <c r="AO18">
        <v>0.13</v>
      </c>
      <c r="AP18">
        <v>0</v>
      </c>
      <c r="AQ18">
        <v>0.08</v>
      </c>
      <c r="AS18">
        <v>0</v>
      </c>
      <c r="AT18">
        <v>0.36</v>
      </c>
      <c r="AU18">
        <v>0.45</v>
      </c>
      <c r="AV18">
        <v>0.09</v>
      </c>
      <c r="AW18">
        <v>0.09</v>
      </c>
      <c r="AX18">
        <v>0</v>
      </c>
      <c r="AZ18">
        <v>0.14000000000000001</v>
      </c>
      <c r="BA18">
        <v>0.43</v>
      </c>
      <c r="BB18">
        <v>0.28999999999999998</v>
      </c>
      <c r="BC18">
        <v>0.14000000000000001</v>
      </c>
      <c r="BD18">
        <v>0</v>
      </c>
      <c r="BE18">
        <v>0</v>
      </c>
      <c r="BG18">
        <v>0</v>
      </c>
      <c r="BH18">
        <v>0</v>
      </c>
      <c r="BI18">
        <v>0.56999999999999995</v>
      </c>
      <c r="BJ18">
        <v>0.14000000000000001</v>
      </c>
      <c r="BK18">
        <v>0.28999999999999998</v>
      </c>
      <c r="BL18">
        <v>0</v>
      </c>
      <c r="BN18">
        <v>0</v>
      </c>
      <c r="BO18">
        <v>0.4</v>
      </c>
      <c r="BP18">
        <v>0.2</v>
      </c>
      <c r="BQ18">
        <v>0.3</v>
      </c>
      <c r="BR18">
        <v>0</v>
      </c>
      <c r="BS18">
        <v>0.1</v>
      </c>
    </row>
    <row r="19" spans="2:71" x14ac:dyDescent="0.25">
      <c r="B19">
        <f t="shared" si="12"/>
        <v>0.14199999999999999</v>
      </c>
      <c r="C19">
        <f t="shared" si="7"/>
        <v>0.10800000000000001</v>
      </c>
      <c r="D19">
        <f t="shared" si="8"/>
        <v>0.11599999999999999</v>
      </c>
      <c r="E19" s="5">
        <f>AVERAGE(L19,S19,Z19,AG19,AN19,AV19,BC19,BJ19,BQ19)</f>
        <v>0.48888888888888893</v>
      </c>
      <c r="F19">
        <f t="shared" si="10"/>
        <v>7.0000000000000007E-2</v>
      </c>
      <c r="G19">
        <f t="shared" si="11"/>
        <v>0.09</v>
      </c>
      <c r="I19">
        <v>0.13</v>
      </c>
      <c r="J19">
        <v>0.03</v>
      </c>
      <c r="K19">
        <v>0.13</v>
      </c>
      <c r="L19">
        <v>0.46</v>
      </c>
      <c r="M19">
        <v>0.13</v>
      </c>
      <c r="N19">
        <v>0.13</v>
      </c>
      <c r="P19">
        <v>0.18</v>
      </c>
      <c r="Q19">
        <v>0.18</v>
      </c>
      <c r="R19">
        <v>0.11</v>
      </c>
      <c r="S19">
        <v>0.47</v>
      </c>
      <c r="T19">
        <v>0</v>
      </c>
      <c r="U19">
        <v>0.05</v>
      </c>
      <c r="W19">
        <v>7.0000000000000007E-2</v>
      </c>
      <c r="X19">
        <v>0.11</v>
      </c>
      <c r="Y19">
        <v>7.0000000000000007E-2</v>
      </c>
      <c r="Z19">
        <v>0.55000000000000004</v>
      </c>
      <c r="AA19">
        <v>7.0000000000000007E-2</v>
      </c>
      <c r="AB19">
        <v>0.14000000000000001</v>
      </c>
      <c r="AD19">
        <v>0.21</v>
      </c>
      <c r="AE19">
        <v>0.08</v>
      </c>
      <c r="AF19">
        <v>0.11</v>
      </c>
      <c r="AG19">
        <v>0.42</v>
      </c>
      <c r="AH19">
        <v>0.08</v>
      </c>
      <c r="AI19">
        <v>0.11</v>
      </c>
      <c r="AK19">
        <v>0.12</v>
      </c>
      <c r="AL19">
        <v>0.14000000000000001</v>
      </c>
      <c r="AM19">
        <v>0.16</v>
      </c>
      <c r="AN19">
        <v>0.49</v>
      </c>
      <c r="AO19">
        <v>7.0000000000000007E-2</v>
      </c>
      <c r="AP19">
        <v>0.02</v>
      </c>
      <c r="AQ19">
        <v>0.05</v>
      </c>
      <c r="AS19">
        <v>0.13</v>
      </c>
      <c r="AT19">
        <v>0.1</v>
      </c>
      <c r="AU19">
        <v>0.03</v>
      </c>
      <c r="AV19">
        <v>0.64</v>
      </c>
      <c r="AW19">
        <v>0.03</v>
      </c>
      <c r="AX19">
        <v>0.08</v>
      </c>
      <c r="AZ19">
        <v>0.2</v>
      </c>
      <c r="BA19">
        <v>0.09</v>
      </c>
      <c r="BB19">
        <v>0.15</v>
      </c>
      <c r="BC19">
        <v>0.42</v>
      </c>
      <c r="BD19">
        <v>0.04</v>
      </c>
      <c r="BE19">
        <v>0.11</v>
      </c>
      <c r="BG19">
        <v>0.04</v>
      </c>
      <c r="BH19">
        <v>0.23</v>
      </c>
      <c r="BI19">
        <v>0.06</v>
      </c>
      <c r="BJ19">
        <v>0.47</v>
      </c>
      <c r="BK19">
        <v>0.09</v>
      </c>
      <c r="BL19">
        <v>0.11</v>
      </c>
      <c r="BN19">
        <v>0.05</v>
      </c>
      <c r="BO19">
        <v>0.16</v>
      </c>
      <c r="BP19">
        <v>0.16</v>
      </c>
      <c r="BQ19">
        <v>0.48</v>
      </c>
      <c r="BR19">
        <v>0.05</v>
      </c>
      <c r="BS19">
        <v>0.11</v>
      </c>
    </row>
    <row r="20" spans="2:71" x14ac:dyDescent="0.25">
      <c r="B20">
        <f t="shared" si="12"/>
        <v>0.13200000000000001</v>
      </c>
      <c r="C20">
        <f t="shared" si="7"/>
        <v>0.20600000000000002</v>
      </c>
      <c r="D20">
        <f t="shared" si="8"/>
        <v>0.10799999999999998</v>
      </c>
      <c r="E20">
        <f t="shared" si="9"/>
        <v>0.23399999999999999</v>
      </c>
      <c r="F20" s="5">
        <f>AVERAGE(M20,T20,AA20,AH20,AO20,AW20,BD20,BK20,BR20)</f>
        <v>9.6666666666666679E-2</v>
      </c>
      <c r="G20">
        <f t="shared" si="11"/>
        <v>0.21599999999999997</v>
      </c>
      <c r="I20">
        <v>0.09</v>
      </c>
      <c r="J20">
        <v>0.18</v>
      </c>
      <c r="K20">
        <v>0.18</v>
      </c>
      <c r="L20">
        <v>0.28999999999999998</v>
      </c>
      <c r="M20">
        <v>0.06</v>
      </c>
      <c r="N20">
        <v>0.21</v>
      </c>
      <c r="P20">
        <v>0.18</v>
      </c>
      <c r="Q20">
        <v>0.26</v>
      </c>
      <c r="R20">
        <v>0.08</v>
      </c>
      <c r="S20">
        <v>0.13</v>
      </c>
      <c r="T20">
        <v>0.1</v>
      </c>
      <c r="U20">
        <v>0.26</v>
      </c>
      <c r="W20">
        <v>0.13</v>
      </c>
      <c r="X20">
        <v>0.23</v>
      </c>
      <c r="Y20">
        <v>0.1</v>
      </c>
      <c r="Z20">
        <v>0.28999999999999998</v>
      </c>
      <c r="AA20">
        <v>0</v>
      </c>
      <c r="AB20">
        <v>0.26</v>
      </c>
      <c r="AD20">
        <v>0.18</v>
      </c>
      <c r="AE20">
        <v>0.13</v>
      </c>
      <c r="AF20">
        <v>0.1</v>
      </c>
      <c r="AG20">
        <v>0.18</v>
      </c>
      <c r="AH20">
        <v>0.23</v>
      </c>
      <c r="AI20">
        <v>0.2</v>
      </c>
      <c r="AK20">
        <v>0.08</v>
      </c>
      <c r="AL20">
        <v>0.23</v>
      </c>
      <c r="AM20">
        <v>0.08</v>
      </c>
      <c r="AN20">
        <v>0.28000000000000003</v>
      </c>
      <c r="AO20">
        <v>0.18</v>
      </c>
      <c r="AP20">
        <v>0.15</v>
      </c>
      <c r="AQ20">
        <v>0.21</v>
      </c>
      <c r="AS20">
        <v>0.11</v>
      </c>
      <c r="AT20">
        <v>0.19</v>
      </c>
      <c r="AU20">
        <v>0.14000000000000001</v>
      </c>
      <c r="AV20">
        <v>0.27</v>
      </c>
      <c r="AW20">
        <v>0.08</v>
      </c>
      <c r="AX20">
        <v>0.22</v>
      </c>
      <c r="AZ20">
        <v>0.16</v>
      </c>
      <c r="BA20">
        <v>0.13</v>
      </c>
      <c r="BB20">
        <v>0.24</v>
      </c>
      <c r="BC20">
        <v>0.18</v>
      </c>
      <c r="BD20">
        <v>0.11</v>
      </c>
      <c r="BE20">
        <v>0.18</v>
      </c>
      <c r="BG20">
        <v>0.03</v>
      </c>
      <c r="BH20">
        <v>0.18</v>
      </c>
      <c r="BI20">
        <v>0.09</v>
      </c>
      <c r="BJ20">
        <v>0.28999999999999998</v>
      </c>
      <c r="BK20">
        <v>0.06</v>
      </c>
      <c r="BL20">
        <v>0.35</v>
      </c>
      <c r="BN20">
        <v>0.13</v>
      </c>
      <c r="BO20">
        <v>0.3</v>
      </c>
      <c r="BP20">
        <v>0.18</v>
      </c>
      <c r="BQ20">
        <v>0.1</v>
      </c>
      <c r="BR20">
        <v>0.05</v>
      </c>
      <c r="BS20">
        <v>0.25</v>
      </c>
    </row>
    <row r="21" spans="2:71" x14ac:dyDescent="0.25">
      <c r="B21">
        <f t="shared" si="12"/>
        <v>0.35200000000000004</v>
      </c>
      <c r="C21">
        <f t="shared" si="7"/>
        <v>1.6E-2</v>
      </c>
      <c r="D21">
        <f t="shared" si="8"/>
        <v>0.05</v>
      </c>
      <c r="E21">
        <f t="shared" si="9"/>
        <v>6.4000000000000001E-2</v>
      </c>
      <c r="F21">
        <f t="shared" si="10"/>
        <v>9.6000000000000002E-2</v>
      </c>
      <c r="G21" s="5">
        <f>AVERAGE(N21,U21,AB21,AI21,AP21,AX21,BE21,BL21,BS21)</f>
        <v>0.44</v>
      </c>
      <c r="I21">
        <v>0.46</v>
      </c>
      <c r="J21">
        <v>0</v>
      </c>
      <c r="K21">
        <v>0</v>
      </c>
      <c r="L21">
        <v>0.15</v>
      </c>
      <c r="M21">
        <v>0.08</v>
      </c>
      <c r="N21">
        <v>0.31</v>
      </c>
      <c r="P21">
        <v>0.36</v>
      </c>
      <c r="Q21">
        <v>0</v>
      </c>
      <c r="R21">
        <v>0.09</v>
      </c>
      <c r="S21">
        <v>0.09</v>
      </c>
      <c r="T21">
        <v>0.09</v>
      </c>
      <c r="U21">
        <v>0.36</v>
      </c>
      <c r="W21">
        <v>0.33</v>
      </c>
      <c r="X21">
        <v>0</v>
      </c>
      <c r="Y21">
        <v>0</v>
      </c>
      <c r="Z21">
        <v>0</v>
      </c>
      <c r="AA21">
        <v>0</v>
      </c>
      <c r="AB21">
        <v>0.67</v>
      </c>
      <c r="AD21">
        <v>0.38</v>
      </c>
      <c r="AE21">
        <v>0</v>
      </c>
      <c r="AF21">
        <v>0.08</v>
      </c>
      <c r="AG21">
        <v>0</v>
      </c>
      <c r="AH21">
        <v>0.31</v>
      </c>
      <c r="AI21">
        <v>0.23</v>
      </c>
      <c r="AK21">
        <v>0.23</v>
      </c>
      <c r="AL21">
        <v>0.08</v>
      </c>
      <c r="AM21">
        <v>0.08</v>
      </c>
      <c r="AN21">
        <v>0.08</v>
      </c>
      <c r="AO21">
        <v>0</v>
      </c>
      <c r="AP21">
        <v>0.54</v>
      </c>
      <c r="AQ21">
        <v>0.55000000000000004</v>
      </c>
      <c r="AS21">
        <v>0.18</v>
      </c>
      <c r="AT21">
        <v>0</v>
      </c>
      <c r="AU21">
        <v>0</v>
      </c>
      <c r="AV21">
        <v>0.27</v>
      </c>
      <c r="AW21">
        <v>0.09</v>
      </c>
      <c r="AX21">
        <v>0.45</v>
      </c>
      <c r="AZ21">
        <v>0.33</v>
      </c>
      <c r="BA21">
        <v>0</v>
      </c>
      <c r="BB21">
        <v>0.11</v>
      </c>
      <c r="BC21">
        <v>0</v>
      </c>
      <c r="BD21">
        <v>0.22</v>
      </c>
      <c r="BE21">
        <v>0.33</v>
      </c>
      <c r="BG21">
        <v>0.08</v>
      </c>
      <c r="BH21">
        <v>0</v>
      </c>
      <c r="BI21">
        <v>0.08</v>
      </c>
      <c r="BJ21">
        <v>0</v>
      </c>
      <c r="BK21">
        <v>0.17</v>
      </c>
      <c r="BL21">
        <v>0.67</v>
      </c>
      <c r="BN21">
        <v>0.4</v>
      </c>
      <c r="BO21">
        <v>0</v>
      </c>
      <c r="BP21">
        <v>0.2</v>
      </c>
      <c r="BQ21">
        <v>0</v>
      </c>
      <c r="BR21">
        <v>0</v>
      </c>
      <c r="BS21">
        <v>0.4</v>
      </c>
    </row>
    <row r="22" spans="2:71" x14ac:dyDescent="0.25">
      <c r="H22" s="1"/>
    </row>
    <row r="23" spans="2:71" x14ac:dyDescent="0.25">
      <c r="B23" s="5">
        <f>AVERAGE(I23,P23,W23,AD23,AK23,AS23,AZ23,BG23,BN23)</f>
        <v>0.44555555555555565</v>
      </c>
      <c r="I23">
        <v>0.32</v>
      </c>
      <c r="P23">
        <v>0.42</v>
      </c>
      <c r="W23">
        <v>0.49</v>
      </c>
      <c r="AD23">
        <v>0.46</v>
      </c>
      <c r="AK23">
        <v>0.51</v>
      </c>
      <c r="AQ23">
        <v>0</v>
      </c>
      <c r="AS23">
        <v>0.45</v>
      </c>
      <c r="AT23">
        <v>0</v>
      </c>
      <c r="AU23">
        <v>0</v>
      </c>
      <c r="AV23">
        <v>0</v>
      </c>
      <c r="AW23">
        <v>0</v>
      </c>
      <c r="AX23">
        <v>0</v>
      </c>
      <c r="AZ23">
        <v>0.44</v>
      </c>
      <c r="BA23">
        <v>0</v>
      </c>
      <c r="BB23">
        <v>0</v>
      </c>
      <c r="BC23">
        <v>0</v>
      </c>
      <c r="BD23">
        <v>0</v>
      </c>
      <c r="BE23">
        <v>0</v>
      </c>
      <c r="BG23">
        <v>0.54</v>
      </c>
      <c r="BH23">
        <v>0</v>
      </c>
      <c r="BI23">
        <v>0</v>
      </c>
      <c r="BJ23">
        <v>0</v>
      </c>
      <c r="BK23">
        <v>0</v>
      </c>
      <c r="BL23">
        <v>0</v>
      </c>
      <c r="BN23">
        <v>0.38</v>
      </c>
      <c r="BO23">
        <v>0</v>
      </c>
      <c r="BP23">
        <v>0</v>
      </c>
      <c r="BQ23">
        <v>0</v>
      </c>
      <c r="BR23">
        <v>0</v>
      </c>
      <c r="BS2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71374-90D8-4B0B-828F-3FD522759B07}">
  <sheetPr codeName="Arkusz18"/>
  <dimension ref="A4:BZ69"/>
  <sheetViews>
    <sheetView topLeftCell="B16" workbookViewId="0">
      <selection activeCell="B49" sqref="B49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0.99199999999999999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0.99</v>
      </c>
      <c r="D6" s="1">
        <f t="shared" ref="D6:D10" si="2">AVERAGE(K6,R6,Y6,AF6,AM6)</f>
        <v>4.0000000000000001E-3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9" si="5"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1.6E-2</v>
      </c>
      <c r="D7" s="11">
        <f>AVERAGE(K7,R7,Y7,AF7,AM7)</f>
        <v>0.96400000000000008</v>
      </c>
      <c r="E7" s="1">
        <f t="shared" si="3"/>
        <v>0.01</v>
      </c>
      <c r="F7" s="1">
        <f t="shared" si="4"/>
        <v>4.0000000000000001E-3</v>
      </c>
      <c r="G7" s="1">
        <f t="shared" si="5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1"/>
        <v>8.199999999999999E-2</v>
      </c>
      <c r="C8" s="1">
        <f t="shared" si="6"/>
        <v>7.400000000000001E-2</v>
      </c>
      <c r="D8" s="1">
        <f t="shared" si="2"/>
        <v>5.3999999999999992E-2</v>
      </c>
      <c r="E8" s="11">
        <f>AVERAGE(L8,S8,Z8,AG8,AN8)</f>
        <v>0.70399999999999996</v>
      </c>
      <c r="F8" s="1">
        <f t="shared" si="4"/>
        <v>0.02</v>
      </c>
      <c r="G8" s="1">
        <f t="shared" si="5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1"/>
        <v>0.10600000000000001</v>
      </c>
      <c r="C9" s="1">
        <f t="shared" si="6"/>
        <v>0.15400000000000003</v>
      </c>
      <c r="D9" s="1">
        <f t="shared" si="2"/>
        <v>0.10200000000000001</v>
      </c>
      <c r="E9" s="1">
        <f t="shared" si="3"/>
        <v>0.124</v>
      </c>
      <c r="F9" s="11">
        <f>AVERAGE(M9,T9,AA9,AH9,AO9)</f>
        <v>0.35</v>
      </c>
      <c r="G9" s="1">
        <f t="shared" si="5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1"/>
        <v>3.4000000000000002E-2</v>
      </c>
      <c r="C10" s="1">
        <f t="shared" si="6"/>
        <v>2E-3</v>
      </c>
      <c r="D10" s="1">
        <f t="shared" si="2"/>
        <v>2E-3</v>
      </c>
      <c r="E10" s="1">
        <f t="shared" si="3"/>
        <v>4.0000000000000001E-3</v>
      </c>
      <c r="F10" s="1">
        <f t="shared" si="4"/>
        <v>8.0000000000000002E-3</v>
      </c>
      <c r="G10" s="11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0.53800000000000003</v>
      </c>
      <c r="C16" s="1">
        <f t="shared" ref="C16:C21" si="7">AVERAGE(J16,Q16,X16,AE16,AL16)</f>
        <v>1.2E-2</v>
      </c>
      <c r="D16" s="1">
        <f t="shared" ref="D16:D21" si="8">AVERAGE(K16,R16,Y16,AF16,AM16)</f>
        <v>4.8000000000000001E-2</v>
      </c>
      <c r="E16" s="1">
        <f t="shared" ref="E16:E21" si="9">AVERAGE(L16,S16,Z16,AG16,AN16)</f>
        <v>0.13400000000000001</v>
      </c>
      <c r="F16" s="1">
        <f t="shared" ref="F16:F21" si="10">AVERAGE(M16,T16,AA16,AH16,AO16)</f>
        <v>4.5999999999999999E-2</v>
      </c>
      <c r="G16" s="1">
        <f t="shared" ref="G16:G20" si="11"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11">
        <f>AVERAGE(J17,Q17,X17,AE17,AL17)</f>
        <v>0.53600000000000003</v>
      </c>
      <c r="D17" s="1">
        <f t="shared" si="8"/>
        <v>0.14399999999999999</v>
      </c>
      <c r="E17" s="1">
        <f t="shared" si="9"/>
        <v>0.21200000000000002</v>
      </c>
      <c r="F17" s="1">
        <f t="shared" si="10"/>
        <v>0.04</v>
      </c>
      <c r="G17" s="1">
        <f t="shared" si="1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7.5999999999999998E-2</v>
      </c>
      <c r="C18" s="1">
        <f t="shared" si="7"/>
        <v>0.36199999999999999</v>
      </c>
      <c r="D18" s="11">
        <f>AVERAGE(K18,R18,Y18,AF18,AM18)</f>
        <v>0.308</v>
      </c>
      <c r="E18" s="1">
        <f t="shared" si="9"/>
        <v>0.128</v>
      </c>
      <c r="F18" s="1">
        <f t="shared" si="10"/>
        <v>8.3999999999999991E-2</v>
      </c>
      <c r="G18" s="1">
        <f t="shared" si="1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2"/>
        <v>0.10999999999999999</v>
      </c>
      <c r="C19" s="1">
        <f t="shared" si="7"/>
        <v>0.13600000000000001</v>
      </c>
      <c r="D19" s="1">
        <f t="shared" si="8"/>
        <v>0.10600000000000001</v>
      </c>
      <c r="E19" s="11">
        <f>AVERAGE(L19,S19,Z19,AG19,AN19)</f>
        <v>0.48399999999999999</v>
      </c>
      <c r="F19" s="1">
        <f t="shared" si="10"/>
        <v>5.5999999999999994E-2</v>
      </c>
      <c r="G19" s="1">
        <f t="shared" si="1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0.182</v>
      </c>
      <c r="D20" s="1">
        <f t="shared" si="8"/>
        <v>0.156</v>
      </c>
      <c r="E20" s="1">
        <f t="shared" si="9"/>
        <v>0.17599999999999999</v>
      </c>
      <c r="F20" s="11">
        <f>AVERAGE(M20,T20,AA20,AH20,AO20)</f>
        <v>0.10799999999999998</v>
      </c>
      <c r="G20" s="1">
        <f t="shared" si="1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2"/>
        <v>0.3</v>
      </c>
      <c r="C21" s="1">
        <f t="shared" si="7"/>
        <v>4.5999999999999999E-2</v>
      </c>
      <c r="D21" s="1">
        <f t="shared" si="8"/>
        <v>7.5999999999999998E-2</v>
      </c>
      <c r="E21" s="1">
        <f t="shared" si="9"/>
        <v>5.6000000000000008E-2</v>
      </c>
      <c r="F21" s="1">
        <f t="shared" si="10"/>
        <v>0.11799999999999999</v>
      </c>
      <c r="G21" s="11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5" spans="1:42" x14ac:dyDescent="0.25">
      <c r="B25" t="s">
        <v>27</v>
      </c>
    </row>
    <row r="27" spans="1:42" x14ac:dyDescent="0.25">
      <c r="B27" t="s">
        <v>0</v>
      </c>
      <c r="C27" t="s">
        <v>2</v>
      </c>
      <c r="D27" t="s">
        <v>1</v>
      </c>
      <c r="E27" t="s">
        <v>3</v>
      </c>
      <c r="F27" t="s">
        <v>4</v>
      </c>
      <c r="G27" t="s">
        <v>5</v>
      </c>
    </row>
    <row r="28" spans="1:42" x14ac:dyDescent="0.25">
      <c r="A28" t="s">
        <v>0</v>
      </c>
      <c r="B28" s="11">
        <f t="shared" ref="B28:G33" si="13">AVERAGE(I28,P28,W28,AD28,AK28)</f>
        <v>0.98199999999999987</v>
      </c>
      <c r="C28" s="1">
        <f t="shared" si="13"/>
        <v>0</v>
      </c>
      <c r="D28" s="1">
        <f t="shared" si="13"/>
        <v>0</v>
      </c>
      <c r="E28" s="1">
        <f t="shared" si="13"/>
        <v>0</v>
      </c>
      <c r="F28" s="1">
        <f t="shared" si="13"/>
        <v>0</v>
      </c>
      <c r="G28" s="1">
        <f t="shared" si="13"/>
        <v>1.7999999999999999E-2</v>
      </c>
      <c r="I28">
        <v>0.97</v>
      </c>
      <c r="J28">
        <v>0</v>
      </c>
      <c r="K28">
        <v>0</v>
      </c>
      <c r="L28">
        <v>0</v>
      </c>
      <c r="M28">
        <v>0</v>
      </c>
      <c r="N28">
        <v>0.03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D28">
        <v>0.97</v>
      </c>
      <c r="AE28">
        <v>0</v>
      </c>
      <c r="AF28">
        <v>0</v>
      </c>
      <c r="AG28">
        <v>0</v>
      </c>
      <c r="AH28">
        <v>0</v>
      </c>
      <c r="AI28">
        <v>0.03</v>
      </c>
      <c r="AK28">
        <v>0.97</v>
      </c>
      <c r="AL28">
        <v>0</v>
      </c>
      <c r="AM28">
        <v>0</v>
      </c>
      <c r="AN28">
        <v>0</v>
      </c>
      <c r="AO28">
        <v>0</v>
      </c>
      <c r="AP28">
        <v>0.03</v>
      </c>
    </row>
    <row r="29" spans="1:42" x14ac:dyDescent="0.25">
      <c r="A29" t="s">
        <v>2</v>
      </c>
      <c r="B29" s="1">
        <f t="shared" si="13"/>
        <v>0</v>
      </c>
      <c r="C29" s="11">
        <f t="shared" si="13"/>
        <v>0.98399999999999999</v>
      </c>
      <c r="D29" s="1">
        <f t="shared" si="13"/>
        <v>0</v>
      </c>
      <c r="E29" s="1">
        <f t="shared" si="13"/>
        <v>1.2E-2</v>
      </c>
      <c r="F29" s="1">
        <f t="shared" si="13"/>
        <v>4.0000000000000001E-3</v>
      </c>
      <c r="G29" s="1">
        <f t="shared" si="13"/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P29">
        <v>0</v>
      </c>
      <c r="Q29">
        <v>0.98</v>
      </c>
      <c r="R29">
        <v>0</v>
      </c>
      <c r="S29">
        <v>0.02</v>
      </c>
      <c r="T29">
        <v>0</v>
      </c>
      <c r="U29">
        <v>0</v>
      </c>
      <c r="W29">
        <v>0</v>
      </c>
      <c r="X29">
        <v>0.98</v>
      </c>
      <c r="Y29">
        <v>0</v>
      </c>
      <c r="Z29">
        <v>0.02</v>
      </c>
      <c r="AA29">
        <v>0</v>
      </c>
      <c r="AB29">
        <v>0</v>
      </c>
      <c r="AD29">
        <v>0</v>
      </c>
      <c r="AE29">
        <v>0.98</v>
      </c>
      <c r="AF29">
        <v>0</v>
      </c>
      <c r="AG29">
        <v>0.02</v>
      </c>
      <c r="AH29">
        <v>0</v>
      </c>
      <c r="AI29">
        <v>0</v>
      </c>
      <c r="AK29">
        <v>0</v>
      </c>
      <c r="AL29">
        <v>0.98</v>
      </c>
      <c r="AM29">
        <v>0</v>
      </c>
      <c r="AN29">
        <v>0</v>
      </c>
      <c r="AO29">
        <v>0.02</v>
      </c>
      <c r="AP29">
        <v>0</v>
      </c>
    </row>
    <row r="30" spans="1:42" x14ac:dyDescent="0.25">
      <c r="A30" t="s">
        <v>1</v>
      </c>
      <c r="B30" s="1">
        <f t="shared" si="13"/>
        <v>2E-3</v>
      </c>
      <c r="C30" s="1">
        <f t="shared" si="13"/>
        <v>6.0000000000000001E-3</v>
      </c>
      <c r="D30" s="11">
        <f t="shared" si="13"/>
        <v>0.97399999999999998</v>
      </c>
      <c r="E30" s="1">
        <f t="shared" si="13"/>
        <v>1.2E-2</v>
      </c>
      <c r="F30" s="1">
        <f t="shared" si="13"/>
        <v>2E-3</v>
      </c>
      <c r="G30" s="1">
        <f t="shared" si="13"/>
        <v>0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P30">
        <v>0.01</v>
      </c>
      <c r="Q30">
        <v>0.01</v>
      </c>
      <c r="R30">
        <v>0.91</v>
      </c>
      <c r="S30">
        <v>0.05</v>
      </c>
      <c r="T30">
        <v>0.01</v>
      </c>
      <c r="U30">
        <v>0</v>
      </c>
      <c r="W30">
        <v>0</v>
      </c>
      <c r="X30">
        <v>0.01</v>
      </c>
      <c r="Y30">
        <v>0.97</v>
      </c>
      <c r="Z30">
        <v>0.01</v>
      </c>
      <c r="AA30">
        <v>0</v>
      </c>
      <c r="AB30">
        <v>0</v>
      </c>
      <c r="AD30">
        <v>0</v>
      </c>
      <c r="AE30">
        <v>0.01</v>
      </c>
      <c r="AF30">
        <v>0.99</v>
      </c>
      <c r="AG30">
        <v>0</v>
      </c>
      <c r="AH30">
        <v>0</v>
      </c>
      <c r="AI30">
        <v>0</v>
      </c>
      <c r="AK30">
        <v>0</v>
      </c>
      <c r="AL30">
        <v>0</v>
      </c>
      <c r="AM30">
        <v>1</v>
      </c>
      <c r="AN30">
        <v>0</v>
      </c>
      <c r="AO30">
        <v>0</v>
      </c>
      <c r="AP30">
        <v>0</v>
      </c>
    </row>
    <row r="31" spans="1:42" x14ac:dyDescent="0.25">
      <c r="A31" t="s">
        <v>3</v>
      </c>
      <c r="B31" s="1">
        <f t="shared" si="13"/>
        <v>7.8E-2</v>
      </c>
      <c r="C31" s="1">
        <f t="shared" si="13"/>
        <v>6.9999999999999993E-2</v>
      </c>
      <c r="D31" s="1">
        <f t="shared" si="13"/>
        <v>0.06</v>
      </c>
      <c r="E31" s="11">
        <f t="shared" si="13"/>
        <v>0.69799999999999995</v>
      </c>
      <c r="F31" s="1">
        <f t="shared" si="13"/>
        <v>3.7999999999999999E-2</v>
      </c>
      <c r="G31" s="1">
        <f t="shared" si="13"/>
        <v>0.06</v>
      </c>
      <c r="I31">
        <v>0.08</v>
      </c>
      <c r="J31">
        <v>0.09</v>
      </c>
      <c r="K31">
        <v>0.04</v>
      </c>
      <c r="L31">
        <v>0.7</v>
      </c>
      <c r="M31">
        <v>0.04</v>
      </c>
      <c r="N31">
        <v>0.05</v>
      </c>
      <c r="P31">
        <v>7.0000000000000007E-2</v>
      </c>
      <c r="Q31">
        <v>7.0000000000000007E-2</v>
      </c>
      <c r="R31">
        <v>0.06</v>
      </c>
      <c r="S31">
        <v>0.72</v>
      </c>
      <c r="T31">
        <v>0.03</v>
      </c>
      <c r="U31">
        <v>0.05</v>
      </c>
      <c r="W31">
        <v>0.1</v>
      </c>
      <c r="X31">
        <v>0.08</v>
      </c>
      <c r="Y31">
        <v>0.06</v>
      </c>
      <c r="Z31">
        <v>0.67</v>
      </c>
      <c r="AA31">
        <v>0.04</v>
      </c>
      <c r="AB31">
        <v>0.06</v>
      </c>
      <c r="AD31">
        <v>0.08</v>
      </c>
      <c r="AE31">
        <v>0.06</v>
      </c>
      <c r="AF31">
        <v>0.06</v>
      </c>
      <c r="AG31">
        <v>0.71</v>
      </c>
      <c r="AH31">
        <v>0.03</v>
      </c>
      <c r="AI31">
        <v>0.06</v>
      </c>
      <c r="AK31">
        <v>0.06</v>
      </c>
      <c r="AL31">
        <v>0.05</v>
      </c>
      <c r="AM31">
        <v>0.08</v>
      </c>
      <c r="AN31">
        <v>0.69</v>
      </c>
      <c r="AO31">
        <v>0.05</v>
      </c>
      <c r="AP31">
        <v>0.08</v>
      </c>
    </row>
    <row r="32" spans="1:42" x14ac:dyDescent="0.25">
      <c r="A32" t="s">
        <v>4</v>
      </c>
      <c r="B32" s="1">
        <f t="shared" si="13"/>
        <v>0.10799999999999998</v>
      </c>
      <c r="C32" s="1">
        <f t="shared" si="13"/>
        <v>0.14800000000000002</v>
      </c>
      <c r="D32" s="1">
        <f t="shared" si="13"/>
        <v>0.1</v>
      </c>
      <c r="E32" s="1">
        <f t="shared" si="13"/>
        <v>0.11599999999999999</v>
      </c>
      <c r="F32" s="11">
        <f t="shared" si="13"/>
        <v>0.35199999999999998</v>
      </c>
      <c r="G32" s="1">
        <f t="shared" si="13"/>
        <v>0.17599999999999999</v>
      </c>
      <c r="I32">
        <v>0.12</v>
      </c>
      <c r="J32">
        <v>0.14000000000000001</v>
      </c>
      <c r="K32">
        <v>0.1</v>
      </c>
      <c r="L32">
        <v>0.12</v>
      </c>
      <c r="M32">
        <v>0.38</v>
      </c>
      <c r="N32">
        <v>0.13</v>
      </c>
      <c r="P32">
        <v>0.11</v>
      </c>
      <c r="Q32">
        <v>0.15</v>
      </c>
      <c r="R32">
        <v>7.0000000000000007E-2</v>
      </c>
      <c r="S32">
        <v>0.12</v>
      </c>
      <c r="T32">
        <v>0.36</v>
      </c>
      <c r="U32">
        <v>0.19</v>
      </c>
      <c r="W32">
        <v>0.09</v>
      </c>
      <c r="X32">
        <v>0.17</v>
      </c>
      <c r="Y32">
        <v>0.12</v>
      </c>
      <c r="Z32">
        <v>0.14000000000000001</v>
      </c>
      <c r="AA32">
        <v>0.28999999999999998</v>
      </c>
      <c r="AB32">
        <v>0.19</v>
      </c>
      <c r="AD32">
        <v>0.14000000000000001</v>
      </c>
      <c r="AE32">
        <v>0.14000000000000001</v>
      </c>
      <c r="AF32">
        <v>0.15</v>
      </c>
      <c r="AG32">
        <v>0.11</v>
      </c>
      <c r="AH32">
        <v>0.32</v>
      </c>
      <c r="AI32">
        <v>0.15</v>
      </c>
      <c r="AK32">
        <v>0.08</v>
      </c>
      <c r="AL32">
        <v>0.14000000000000001</v>
      </c>
      <c r="AM32">
        <v>0.06</v>
      </c>
      <c r="AN32">
        <v>0.09</v>
      </c>
      <c r="AO32">
        <v>0.41</v>
      </c>
      <c r="AP32">
        <v>0.22</v>
      </c>
    </row>
    <row r="33" spans="1:42" x14ac:dyDescent="0.25">
      <c r="A33" t="s">
        <v>5</v>
      </c>
      <c r="B33" s="1">
        <f t="shared" si="13"/>
        <v>2.4E-2</v>
      </c>
      <c r="C33" s="1">
        <f t="shared" si="13"/>
        <v>0</v>
      </c>
      <c r="D33" s="1">
        <f t="shared" si="13"/>
        <v>6.0000000000000001E-3</v>
      </c>
      <c r="E33" s="1">
        <f t="shared" si="13"/>
        <v>8.0000000000000002E-3</v>
      </c>
      <c r="F33" s="1">
        <f t="shared" si="13"/>
        <v>6.0000000000000001E-3</v>
      </c>
      <c r="G33" s="11">
        <f t="shared" si="13"/>
        <v>0.95</v>
      </c>
      <c r="I33">
        <v>0.02</v>
      </c>
      <c r="J33">
        <v>0</v>
      </c>
      <c r="K33">
        <v>0</v>
      </c>
      <c r="L33">
        <v>0</v>
      </c>
      <c r="M33">
        <v>0.02</v>
      </c>
      <c r="N33">
        <v>0.95</v>
      </c>
      <c r="P33">
        <v>0.03</v>
      </c>
      <c r="Q33">
        <v>0</v>
      </c>
      <c r="R33">
        <v>0</v>
      </c>
      <c r="S33">
        <v>0.02</v>
      </c>
      <c r="T33">
        <v>0.01</v>
      </c>
      <c r="U33">
        <v>0.93</v>
      </c>
      <c r="W33">
        <v>0.01</v>
      </c>
      <c r="X33">
        <v>0</v>
      </c>
      <c r="Y33">
        <v>0.01</v>
      </c>
      <c r="Z33">
        <v>0.01</v>
      </c>
      <c r="AA33">
        <v>0</v>
      </c>
      <c r="AB33">
        <v>0.97</v>
      </c>
      <c r="AD33">
        <v>0.05</v>
      </c>
      <c r="AE33">
        <v>0</v>
      </c>
      <c r="AF33">
        <v>0</v>
      </c>
      <c r="AG33">
        <v>0</v>
      </c>
      <c r="AH33">
        <v>0</v>
      </c>
      <c r="AI33">
        <v>0.95</v>
      </c>
      <c r="AK33">
        <v>0.01</v>
      </c>
      <c r="AL33">
        <v>0</v>
      </c>
      <c r="AM33">
        <v>0.02</v>
      </c>
      <c r="AN33">
        <v>0.01</v>
      </c>
      <c r="AO33">
        <v>0</v>
      </c>
      <c r="AP33">
        <v>0.95</v>
      </c>
    </row>
    <row r="34" spans="1:42" x14ac:dyDescent="0.25">
      <c r="B34" s="1"/>
      <c r="C34" s="1"/>
      <c r="D34" s="1"/>
      <c r="E34" s="1"/>
      <c r="F34" s="1"/>
      <c r="G34" s="1"/>
    </row>
    <row r="35" spans="1:42" x14ac:dyDescent="0.25">
      <c r="B35" s="11">
        <f>AVERAGE(I35,P35,W35,AD35,AK35)</f>
        <v>0.82199999999999984</v>
      </c>
      <c r="C35" s="1"/>
      <c r="D35" s="1"/>
      <c r="E35" s="1"/>
      <c r="F35" s="1"/>
      <c r="G35" s="1"/>
      <c r="I35">
        <v>0.83</v>
      </c>
      <c r="J35">
        <v>935</v>
      </c>
      <c r="P35">
        <v>0.82</v>
      </c>
      <c r="Q35">
        <v>931</v>
      </c>
      <c r="W35">
        <v>0.81</v>
      </c>
      <c r="X35">
        <v>932</v>
      </c>
      <c r="AD35">
        <v>0.82</v>
      </c>
      <c r="AE35">
        <v>933</v>
      </c>
      <c r="AK35">
        <v>0.83</v>
      </c>
      <c r="AL35">
        <v>933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t="s">
        <v>0</v>
      </c>
      <c r="C38" t="s">
        <v>2</v>
      </c>
      <c r="D38" t="s">
        <v>1</v>
      </c>
      <c r="E38" t="s">
        <v>3</v>
      </c>
      <c r="F38" t="s">
        <v>4</v>
      </c>
      <c r="G38" t="s">
        <v>5</v>
      </c>
    </row>
    <row r="39" spans="1:42" x14ac:dyDescent="0.25">
      <c r="A39" t="s">
        <v>0</v>
      </c>
      <c r="B39" s="11">
        <f t="shared" ref="B39:G44" si="14">AVERAGE(I39,P39,W39,AD39,AK39)</f>
        <v>0.62</v>
      </c>
      <c r="C39" s="1">
        <f t="shared" si="14"/>
        <v>1.2E-2</v>
      </c>
      <c r="D39" s="1">
        <f t="shared" si="14"/>
        <v>3.5999999999999997E-2</v>
      </c>
      <c r="E39" s="1">
        <f t="shared" si="14"/>
        <v>7.8E-2</v>
      </c>
      <c r="F39" s="1">
        <f t="shared" si="14"/>
        <v>2.1999999999999999E-2</v>
      </c>
      <c r="G39" s="1">
        <f t="shared" si="14"/>
        <v>0.23600000000000004</v>
      </c>
      <c r="I39">
        <v>0.65</v>
      </c>
      <c r="J39">
        <v>0</v>
      </c>
      <c r="K39">
        <v>0.06</v>
      </c>
      <c r="L39">
        <v>0</v>
      </c>
      <c r="M39">
        <v>0</v>
      </c>
      <c r="N39">
        <v>0.28999999999999998</v>
      </c>
      <c r="P39">
        <v>0.72</v>
      </c>
      <c r="Q39">
        <v>0</v>
      </c>
      <c r="R39">
        <v>0</v>
      </c>
      <c r="S39">
        <v>0</v>
      </c>
      <c r="T39">
        <v>0.11</v>
      </c>
      <c r="U39">
        <v>0.17</v>
      </c>
      <c r="W39">
        <v>0.56000000000000005</v>
      </c>
      <c r="X39">
        <v>0.06</v>
      </c>
      <c r="Y39">
        <v>0.06</v>
      </c>
      <c r="Z39">
        <v>0.06</v>
      </c>
      <c r="AA39">
        <v>0</v>
      </c>
      <c r="AB39">
        <v>0.28000000000000003</v>
      </c>
      <c r="AD39">
        <v>0.56000000000000005</v>
      </c>
      <c r="AE39">
        <v>0</v>
      </c>
      <c r="AF39">
        <v>0</v>
      </c>
      <c r="AG39">
        <v>0.11</v>
      </c>
      <c r="AH39">
        <v>0</v>
      </c>
      <c r="AI39">
        <v>0.33</v>
      </c>
      <c r="AK39">
        <v>0.61</v>
      </c>
      <c r="AL39">
        <v>0</v>
      </c>
      <c r="AM39">
        <v>0.06</v>
      </c>
      <c r="AN39">
        <v>0.22</v>
      </c>
      <c r="AO39">
        <v>0</v>
      </c>
      <c r="AP39">
        <v>0.11</v>
      </c>
    </row>
    <row r="40" spans="1:42" x14ac:dyDescent="0.25">
      <c r="A40" t="s">
        <v>2</v>
      </c>
      <c r="B40" s="1">
        <f t="shared" si="14"/>
        <v>0.04</v>
      </c>
      <c r="C40" s="11">
        <f t="shared" si="14"/>
        <v>0.59199999999999997</v>
      </c>
      <c r="D40" s="1">
        <f t="shared" si="14"/>
        <v>0.158</v>
      </c>
      <c r="E40" s="1">
        <f t="shared" si="14"/>
        <v>0.158</v>
      </c>
      <c r="F40" s="1">
        <f t="shared" si="14"/>
        <v>2.6000000000000002E-2</v>
      </c>
      <c r="G40" s="1">
        <f t="shared" si="14"/>
        <v>2.6000000000000002E-2</v>
      </c>
      <c r="I40">
        <v>7.0000000000000007E-2</v>
      </c>
      <c r="J40">
        <v>0.53</v>
      </c>
      <c r="K40">
        <v>0.13</v>
      </c>
      <c r="L40">
        <v>0.27</v>
      </c>
      <c r="M40">
        <v>0</v>
      </c>
      <c r="N40">
        <v>0</v>
      </c>
      <c r="P40">
        <v>0.06</v>
      </c>
      <c r="Q40">
        <v>0.56000000000000005</v>
      </c>
      <c r="R40">
        <v>0.06</v>
      </c>
      <c r="S40">
        <v>0.25</v>
      </c>
      <c r="T40">
        <v>0.06</v>
      </c>
      <c r="U40">
        <v>0</v>
      </c>
      <c r="W40">
        <v>0</v>
      </c>
      <c r="X40">
        <v>0.67</v>
      </c>
      <c r="Y40">
        <v>0.27</v>
      </c>
      <c r="Z40">
        <v>7.0000000000000007E-2</v>
      </c>
      <c r="AA40">
        <v>0</v>
      </c>
      <c r="AB40">
        <v>0</v>
      </c>
      <c r="AD40">
        <v>0</v>
      </c>
      <c r="AE40">
        <v>0.67</v>
      </c>
      <c r="AF40">
        <v>0.13</v>
      </c>
      <c r="AG40">
        <v>0.13</v>
      </c>
      <c r="AH40">
        <v>7.0000000000000007E-2</v>
      </c>
      <c r="AI40">
        <v>0</v>
      </c>
      <c r="AK40">
        <v>7.0000000000000007E-2</v>
      </c>
      <c r="AL40">
        <v>0.53</v>
      </c>
      <c r="AM40">
        <v>0.2</v>
      </c>
      <c r="AN40">
        <v>7.0000000000000007E-2</v>
      </c>
      <c r="AO40">
        <v>0</v>
      </c>
      <c r="AP40">
        <v>0.13</v>
      </c>
    </row>
    <row r="41" spans="1:42" x14ac:dyDescent="0.25">
      <c r="A41" t="s">
        <v>1</v>
      </c>
      <c r="B41" s="1">
        <f t="shared" si="14"/>
        <v>5.4000000000000006E-2</v>
      </c>
      <c r="C41" s="1">
        <f t="shared" si="14"/>
        <v>0.28599999999999998</v>
      </c>
      <c r="D41" s="11">
        <f t="shared" si="14"/>
        <v>0.39600000000000002</v>
      </c>
      <c r="E41" s="1">
        <f t="shared" si="14"/>
        <v>0.13</v>
      </c>
      <c r="F41" s="1">
        <f t="shared" si="14"/>
        <v>8.7999999999999995E-2</v>
      </c>
      <c r="G41" s="1">
        <f t="shared" si="14"/>
        <v>5.4000000000000006E-2</v>
      </c>
      <c r="I41">
        <v>0</v>
      </c>
      <c r="J41">
        <v>0.28000000000000003</v>
      </c>
      <c r="K41">
        <v>0.56000000000000005</v>
      </c>
      <c r="L41">
        <v>0.06</v>
      </c>
      <c r="M41">
        <v>0.06</v>
      </c>
      <c r="N41">
        <v>0.06</v>
      </c>
      <c r="P41">
        <v>0</v>
      </c>
      <c r="Q41">
        <v>0.21</v>
      </c>
      <c r="R41">
        <v>0.47</v>
      </c>
      <c r="S41">
        <v>0.16</v>
      </c>
      <c r="T41">
        <v>0.11</v>
      </c>
      <c r="U41">
        <v>0.05</v>
      </c>
      <c r="W41">
        <v>0.11</v>
      </c>
      <c r="X41">
        <v>0.42</v>
      </c>
      <c r="Y41">
        <v>0.11</v>
      </c>
      <c r="Z41">
        <v>0.21</v>
      </c>
      <c r="AA41">
        <v>0.11</v>
      </c>
      <c r="AB41">
        <v>0.05</v>
      </c>
      <c r="AD41">
        <v>0.05</v>
      </c>
      <c r="AE41">
        <v>0.26</v>
      </c>
      <c r="AF41">
        <v>0.37</v>
      </c>
      <c r="AG41">
        <v>0.11</v>
      </c>
      <c r="AH41">
        <v>0.11</v>
      </c>
      <c r="AI41">
        <v>0.11</v>
      </c>
      <c r="AK41">
        <v>0.11</v>
      </c>
      <c r="AL41">
        <v>0.26</v>
      </c>
      <c r="AM41">
        <v>0.47</v>
      </c>
      <c r="AN41">
        <v>0.11</v>
      </c>
      <c r="AO41">
        <v>0.05</v>
      </c>
      <c r="AP41">
        <v>0</v>
      </c>
    </row>
    <row r="42" spans="1:42" x14ac:dyDescent="0.25">
      <c r="A42" t="s">
        <v>3</v>
      </c>
      <c r="B42" s="1">
        <f t="shared" si="14"/>
        <v>0.10600000000000001</v>
      </c>
      <c r="C42" s="1">
        <f t="shared" si="14"/>
        <v>0.14199999999999999</v>
      </c>
      <c r="D42" s="1">
        <f t="shared" si="14"/>
        <v>0.10600000000000001</v>
      </c>
      <c r="E42" s="11">
        <f t="shared" si="14"/>
        <v>0.46999999999999992</v>
      </c>
      <c r="F42" s="1">
        <f t="shared" si="14"/>
        <v>7.1999999999999995E-2</v>
      </c>
      <c r="G42" s="1">
        <f t="shared" si="14"/>
        <v>0.10400000000000001</v>
      </c>
      <c r="I42">
        <v>0.08</v>
      </c>
      <c r="J42">
        <v>0.11</v>
      </c>
      <c r="K42">
        <v>0.08</v>
      </c>
      <c r="L42">
        <v>0.56000000000000005</v>
      </c>
      <c r="M42">
        <v>0.09</v>
      </c>
      <c r="N42">
        <v>7.0000000000000007E-2</v>
      </c>
      <c r="P42">
        <v>0.12</v>
      </c>
      <c r="Q42">
        <v>0.19</v>
      </c>
      <c r="R42">
        <v>7.0000000000000007E-2</v>
      </c>
      <c r="S42">
        <v>0.43</v>
      </c>
      <c r="T42">
        <v>0.09</v>
      </c>
      <c r="U42">
        <v>0.1</v>
      </c>
      <c r="W42">
        <v>0.09</v>
      </c>
      <c r="X42">
        <v>0.22</v>
      </c>
      <c r="Y42">
        <v>0.14000000000000001</v>
      </c>
      <c r="Z42">
        <v>0.42</v>
      </c>
      <c r="AA42">
        <v>0.08</v>
      </c>
      <c r="AB42">
        <v>0.05</v>
      </c>
      <c r="AD42">
        <v>0.12</v>
      </c>
      <c r="AE42">
        <v>0.11</v>
      </c>
      <c r="AF42">
        <v>0.13</v>
      </c>
      <c r="AG42">
        <v>0.42</v>
      </c>
      <c r="AH42">
        <v>0.06</v>
      </c>
      <c r="AI42">
        <v>0.16</v>
      </c>
      <c r="AK42">
        <v>0.12</v>
      </c>
      <c r="AL42">
        <v>0.08</v>
      </c>
      <c r="AM42">
        <v>0.11</v>
      </c>
      <c r="AN42">
        <v>0.52</v>
      </c>
      <c r="AO42">
        <v>0.04</v>
      </c>
      <c r="AP42">
        <v>0.14000000000000001</v>
      </c>
    </row>
    <row r="43" spans="1:42" x14ac:dyDescent="0.25">
      <c r="A43" t="s">
        <v>4</v>
      </c>
      <c r="B43" s="1">
        <f t="shared" si="14"/>
        <v>0.13400000000000001</v>
      </c>
      <c r="C43" s="1">
        <f t="shared" si="14"/>
        <v>0.19600000000000001</v>
      </c>
      <c r="D43" s="1">
        <f t="shared" si="14"/>
        <v>0.19</v>
      </c>
      <c r="E43" s="1">
        <f t="shared" si="14"/>
        <v>0.13199999999999998</v>
      </c>
      <c r="F43" s="11">
        <f t="shared" si="14"/>
        <v>0.126</v>
      </c>
      <c r="G43" s="1">
        <f t="shared" si="14"/>
        <v>0.22599999999999998</v>
      </c>
      <c r="I43">
        <v>0.16</v>
      </c>
      <c r="J43">
        <v>0.18</v>
      </c>
      <c r="K43">
        <v>0.18</v>
      </c>
      <c r="L43">
        <v>7.0000000000000007E-2</v>
      </c>
      <c r="M43">
        <v>0.09</v>
      </c>
      <c r="N43">
        <v>0.32</v>
      </c>
      <c r="P43">
        <v>0.11</v>
      </c>
      <c r="Q43">
        <v>0.26</v>
      </c>
      <c r="R43">
        <v>0.16</v>
      </c>
      <c r="S43">
        <v>0.14000000000000001</v>
      </c>
      <c r="T43">
        <v>0.14000000000000001</v>
      </c>
      <c r="U43">
        <v>0.2</v>
      </c>
      <c r="W43">
        <v>0.14000000000000001</v>
      </c>
      <c r="X43">
        <v>0.2</v>
      </c>
      <c r="Y43">
        <v>0.22</v>
      </c>
      <c r="Z43">
        <v>0.11</v>
      </c>
      <c r="AA43">
        <v>0.16</v>
      </c>
      <c r="AB43">
        <v>0.18</v>
      </c>
      <c r="AD43">
        <v>0.14000000000000001</v>
      </c>
      <c r="AE43">
        <v>0.12</v>
      </c>
      <c r="AF43">
        <v>0.19</v>
      </c>
      <c r="AG43">
        <v>0.16</v>
      </c>
      <c r="AH43">
        <v>0.15</v>
      </c>
      <c r="AI43">
        <v>0.24</v>
      </c>
      <c r="AK43">
        <v>0.12</v>
      </c>
      <c r="AL43">
        <v>0.22</v>
      </c>
      <c r="AM43">
        <v>0.2</v>
      </c>
      <c r="AN43">
        <v>0.18</v>
      </c>
      <c r="AO43">
        <v>0.09</v>
      </c>
      <c r="AP43">
        <v>0.19</v>
      </c>
    </row>
    <row r="44" spans="1:42" x14ac:dyDescent="0.25">
      <c r="A44" t="s">
        <v>5</v>
      </c>
      <c r="B44" s="1">
        <f t="shared" si="14"/>
        <v>0.22000000000000003</v>
      </c>
      <c r="C44" s="1">
        <f t="shared" si="14"/>
        <v>0.02</v>
      </c>
      <c r="D44" s="1">
        <f t="shared" si="14"/>
        <v>0.12000000000000002</v>
      </c>
      <c r="E44" s="1">
        <f t="shared" si="14"/>
        <v>7.3999999999999996E-2</v>
      </c>
      <c r="F44" s="1">
        <f t="shared" si="14"/>
        <v>0.13599999999999998</v>
      </c>
      <c r="G44" s="11">
        <f t="shared" si="14"/>
        <v>0.43600000000000005</v>
      </c>
      <c r="I44">
        <v>0.23</v>
      </c>
      <c r="J44">
        <v>0.05</v>
      </c>
      <c r="K44">
        <v>0.09</v>
      </c>
      <c r="L44">
        <v>0.09</v>
      </c>
      <c r="M44">
        <v>0.09</v>
      </c>
      <c r="N44">
        <v>0.45</v>
      </c>
      <c r="P44">
        <v>0.14000000000000001</v>
      </c>
      <c r="Q44">
        <v>0</v>
      </c>
      <c r="R44">
        <v>0.18</v>
      </c>
      <c r="S44">
        <v>0.05</v>
      </c>
      <c r="T44">
        <v>0.23</v>
      </c>
      <c r="U44">
        <v>0.41</v>
      </c>
      <c r="W44">
        <v>0.23</v>
      </c>
      <c r="X44">
        <v>0</v>
      </c>
      <c r="Y44">
        <v>0.05</v>
      </c>
      <c r="Z44">
        <v>0.09</v>
      </c>
      <c r="AA44">
        <v>0.09</v>
      </c>
      <c r="AB44">
        <v>0.55000000000000004</v>
      </c>
      <c r="AD44">
        <v>0.14000000000000001</v>
      </c>
      <c r="AE44">
        <v>0.05</v>
      </c>
      <c r="AF44">
        <v>0.23</v>
      </c>
      <c r="AG44">
        <v>0.05</v>
      </c>
      <c r="AH44">
        <v>0.09</v>
      </c>
      <c r="AI44">
        <v>0.45</v>
      </c>
      <c r="AK44">
        <v>0.36</v>
      </c>
      <c r="AL44">
        <v>0</v>
      </c>
      <c r="AM44">
        <v>0.05</v>
      </c>
      <c r="AN44">
        <v>0.09</v>
      </c>
      <c r="AO44">
        <v>0.18</v>
      </c>
      <c r="AP44">
        <v>0.32</v>
      </c>
    </row>
    <row r="45" spans="1:42" x14ac:dyDescent="0.25">
      <c r="B45" s="1"/>
      <c r="C45" s="1"/>
      <c r="D45" s="1"/>
      <c r="E45" s="1"/>
      <c r="F45" s="1"/>
      <c r="G45" s="1"/>
    </row>
    <row r="46" spans="1:42" x14ac:dyDescent="0.25">
      <c r="B46" s="11">
        <f>AVERAGE(I46,P46,W46,AD46,AK46)</f>
        <v>0.43999999999999995</v>
      </c>
      <c r="C46" s="1"/>
      <c r="D46" s="1"/>
      <c r="E46" s="1"/>
      <c r="F46" s="1"/>
      <c r="G46" s="1"/>
      <c r="I46">
        <v>0.47</v>
      </c>
      <c r="J46">
        <v>231</v>
      </c>
      <c r="P46">
        <v>0.46</v>
      </c>
      <c r="Q46">
        <v>235</v>
      </c>
      <c r="W46">
        <v>0.41</v>
      </c>
      <c r="X46">
        <v>234</v>
      </c>
      <c r="AD46">
        <v>0.44</v>
      </c>
      <c r="AE46">
        <v>233</v>
      </c>
      <c r="AK46">
        <v>0.42</v>
      </c>
      <c r="AL46">
        <v>233</v>
      </c>
    </row>
    <row r="48" spans="1:42" x14ac:dyDescent="0.25">
      <c r="B48" t="s">
        <v>28</v>
      </c>
    </row>
    <row r="50" spans="1:78" x14ac:dyDescent="0.25">
      <c r="B50" t="s">
        <v>0</v>
      </c>
      <c r="C50" t="s">
        <v>2</v>
      </c>
      <c r="D50" t="s">
        <v>1</v>
      </c>
      <c r="E50" t="s">
        <v>3</v>
      </c>
      <c r="F50" t="s">
        <v>4</v>
      </c>
      <c r="G50" t="s">
        <v>5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</row>
    <row r="51" spans="1:78" x14ac:dyDescent="0.25">
      <c r="A51" t="s">
        <v>0</v>
      </c>
      <c r="B51" s="11">
        <f t="shared" ref="B51:G56" si="15">AVERAGE(I51,P51,W51,AD51,AK51,AS51,AZ51,BG51,BN51,BU51)</f>
        <v>0.9850000000000001</v>
      </c>
      <c r="C51" s="12">
        <f t="shared" si="15"/>
        <v>0</v>
      </c>
      <c r="D51" s="12">
        <f t="shared" si="15"/>
        <v>1E-3</v>
      </c>
      <c r="E51" s="12">
        <f t="shared" si="15"/>
        <v>3.0000000000000001E-3</v>
      </c>
      <c r="F51" s="12">
        <f t="shared" si="15"/>
        <v>1E-3</v>
      </c>
      <c r="G51" s="12">
        <f t="shared" si="15"/>
        <v>1.0999999999999999E-2</v>
      </c>
      <c r="I51" s="1">
        <v>1</v>
      </c>
      <c r="J51" s="1">
        <v>0</v>
      </c>
      <c r="K51" s="1">
        <v>0</v>
      </c>
      <c r="L51" s="1">
        <v>0</v>
      </c>
      <c r="M51" s="1">
        <v>0</v>
      </c>
      <c r="N51">
        <v>0</v>
      </c>
      <c r="P51">
        <v>1</v>
      </c>
      <c r="Q51">
        <v>0</v>
      </c>
      <c r="R51">
        <v>0</v>
      </c>
      <c r="S51">
        <v>0</v>
      </c>
      <c r="T51">
        <v>0</v>
      </c>
      <c r="U51">
        <v>0</v>
      </c>
      <c r="W51">
        <v>0.99</v>
      </c>
      <c r="X51">
        <v>0</v>
      </c>
      <c r="Y51">
        <v>0</v>
      </c>
      <c r="Z51">
        <v>0.01</v>
      </c>
      <c r="AA51">
        <v>0</v>
      </c>
      <c r="AB51">
        <v>0</v>
      </c>
      <c r="AD51">
        <v>0.99</v>
      </c>
      <c r="AE51">
        <v>0</v>
      </c>
      <c r="AF51">
        <v>0</v>
      </c>
      <c r="AG51">
        <v>0</v>
      </c>
      <c r="AH51">
        <v>0</v>
      </c>
      <c r="AI51">
        <v>0.01</v>
      </c>
      <c r="AK51">
        <v>0.98</v>
      </c>
      <c r="AL51">
        <v>0</v>
      </c>
      <c r="AM51">
        <v>0</v>
      </c>
      <c r="AN51">
        <v>0.01</v>
      </c>
      <c r="AO51">
        <v>0</v>
      </c>
      <c r="AP51">
        <v>0.01</v>
      </c>
      <c r="AQ51">
        <v>0.03</v>
      </c>
      <c r="AR51">
        <v>0</v>
      </c>
      <c r="AS51">
        <v>0.98</v>
      </c>
      <c r="AT51">
        <v>0</v>
      </c>
      <c r="AU51">
        <v>0</v>
      </c>
      <c r="AV51">
        <v>0</v>
      </c>
      <c r="AW51">
        <v>0</v>
      </c>
      <c r="AX51">
        <v>0.03</v>
      </c>
      <c r="AY51">
        <v>0</v>
      </c>
      <c r="AZ51">
        <v>0.98</v>
      </c>
      <c r="BA51">
        <v>0</v>
      </c>
      <c r="BB51">
        <v>0</v>
      </c>
      <c r="BC51">
        <v>0.01</v>
      </c>
      <c r="BD51">
        <v>0</v>
      </c>
      <c r="BE51">
        <v>0.01</v>
      </c>
      <c r="BF51">
        <v>0</v>
      </c>
      <c r="BG51">
        <v>0.99</v>
      </c>
      <c r="BH51">
        <v>0</v>
      </c>
      <c r="BI51">
        <v>0</v>
      </c>
      <c r="BJ51">
        <v>0</v>
      </c>
      <c r="BK51">
        <v>0</v>
      </c>
      <c r="BL51">
        <v>0.01</v>
      </c>
      <c r="BM51">
        <v>0</v>
      </c>
      <c r="BN51">
        <v>0.98</v>
      </c>
      <c r="BO51">
        <v>0</v>
      </c>
      <c r="BP51">
        <v>0.01</v>
      </c>
      <c r="BQ51">
        <v>0</v>
      </c>
      <c r="BR51">
        <v>0</v>
      </c>
      <c r="BS51">
        <v>0.01</v>
      </c>
      <c r="BT51">
        <v>0</v>
      </c>
      <c r="BU51">
        <v>0.96</v>
      </c>
      <c r="BV51">
        <v>0</v>
      </c>
      <c r="BW51">
        <v>0</v>
      </c>
      <c r="BX51">
        <v>0</v>
      </c>
      <c r="BY51">
        <v>0.01</v>
      </c>
      <c r="BZ51">
        <v>0.03</v>
      </c>
    </row>
    <row r="52" spans="1:78" x14ac:dyDescent="0.25">
      <c r="A52" t="s">
        <v>2</v>
      </c>
      <c r="B52" s="12">
        <f t="shared" si="15"/>
        <v>1E-3</v>
      </c>
      <c r="C52" s="11">
        <f t="shared" si="15"/>
        <v>0.97799999999999998</v>
      </c>
      <c r="D52" s="12">
        <f t="shared" si="15"/>
        <v>6.0000000000000001E-3</v>
      </c>
      <c r="E52" s="12">
        <f t="shared" si="15"/>
        <v>8.0000000000000002E-3</v>
      </c>
      <c r="F52" s="12">
        <f t="shared" si="15"/>
        <v>4.0000000000000001E-3</v>
      </c>
      <c r="G52" s="12">
        <f t="shared" si="15"/>
        <v>0</v>
      </c>
      <c r="I52" s="11">
        <v>0</v>
      </c>
      <c r="J52" s="1">
        <v>0.97</v>
      </c>
      <c r="K52" s="1">
        <v>0.01</v>
      </c>
      <c r="L52" s="1">
        <v>0.01</v>
      </c>
      <c r="M52" s="1">
        <v>0</v>
      </c>
      <c r="N52">
        <v>0</v>
      </c>
      <c r="P52">
        <v>0</v>
      </c>
      <c r="Q52">
        <v>0.99</v>
      </c>
      <c r="R52">
        <v>0</v>
      </c>
      <c r="S52">
        <v>0.01</v>
      </c>
      <c r="T52">
        <v>0</v>
      </c>
      <c r="U52">
        <v>0</v>
      </c>
      <c r="W52">
        <v>0</v>
      </c>
      <c r="X52">
        <v>0.97</v>
      </c>
      <c r="Y52">
        <v>0.01</v>
      </c>
      <c r="Z52">
        <v>0.01</v>
      </c>
      <c r="AA52">
        <v>0</v>
      </c>
      <c r="AB52">
        <v>0</v>
      </c>
      <c r="AD52">
        <v>0</v>
      </c>
      <c r="AE52">
        <v>0.97</v>
      </c>
      <c r="AF52">
        <v>0</v>
      </c>
      <c r="AG52">
        <v>0</v>
      </c>
      <c r="AH52">
        <v>0.03</v>
      </c>
      <c r="AI52">
        <v>0</v>
      </c>
      <c r="AK52">
        <v>0</v>
      </c>
      <c r="AL52">
        <v>0.99</v>
      </c>
      <c r="AM52">
        <v>0.01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0.01</v>
      </c>
      <c r="AT52">
        <v>0.97</v>
      </c>
      <c r="AU52">
        <v>0</v>
      </c>
      <c r="AV52">
        <v>0.01</v>
      </c>
      <c r="AW52">
        <v>0</v>
      </c>
      <c r="AX52">
        <v>0</v>
      </c>
      <c r="AY52">
        <v>0</v>
      </c>
      <c r="AZ52">
        <v>0</v>
      </c>
      <c r="BA52">
        <v>0.96</v>
      </c>
      <c r="BB52">
        <v>0.03</v>
      </c>
      <c r="BC52">
        <v>0</v>
      </c>
      <c r="BD52">
        <v>0.01</v>
      </c>
      <c r="BE52">
        <v>0</v>
      </c>
      <c r="BF52">
        <v>0</v>
      </c>
      <c r="BG52">
        <v>0</v>
      </c>
      <c r="BH52">
        <v>0.97</v>
      </c>
      <c r="BI52">
        <v>0</v>
      </c>
      <c r="BJ52">
        <v>0.03</v>
      </c>
      <c r="BK52">
        <v>0</v>
      </c>
      <c r="BL52">
        <v>0</v>
      </c>
      <c r="BM52">
        <v>0</v>
      </c>
      <c r="BN52">
        <v>0</v>
      </c>
      <c r="BO52">
        <v>1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0.99</v>
      </c>
      <c r="BW52">
        <v>0</v>
      </c>
      <c r="BX52">
        <v>0.01</v>
      </c>
      <c r="BY52">
        <v>0</v>
      </c>
      <c r="BZ52">
        <v>0</v>
      </c>
    </row>
    <row r="53" spans="1:78" x14ac:dyDescent="0.25">
      <c r="A53" t="s">
        <v>1</v>
      </c>
      <c r="B53" s="12">
        <f t="shared" si="15"/>
        <v>2E-3</v>
      </c>
      <c r="C53" s="12">
        <f t="shared" si="15"/>
        <v>1.8000000000000002E-2</v>
      </c>
      <c r="D53" s="11">
        <f t="shared" si="15"/>
        <v>0.95299999999999996</v>
      </c>
      <c r="E53" s="12">
        <f t="shared" si="15"/>
        <v>2.4E-2</v>
      </c>
      <c r="F53" s="12">
        <f t="shared" si="15"/>
        <v>2E-3</v>
      </c>
      <c r="G53" s="12">
        <f t="shared" si="15"/>
        <v>1E-3</v>
      </c>
      <c r="I53" s="1">
        <v>0</v>
      </c>
      <c r="J53" s="11">
        <v>0</v>
      </c>
      <c r="K53" s="1">
        <v>0.96</v>
      </c>
      <c r="L53" s="1">
        <v>0.04</v>
      </c>
      <c r="M53" s="1">
        <v>0</v>
      </c>
      <c r="N53">
        <v>0</v>
      </c>
      <c r="P53">
        <v>0</v>
      </c>
      <c r="Q53">
        <v>0.05</v>
      </c>
      <c r="R53">
        <v>0.92</v>
      </c>
      <c r="S53">
        <v>0.02</v>
      </c>
      <c r="T53">
        <v>0</v>
      </c>
      <c r="U53">
        <v>0.01</v>
      </c>
      <c r="W53">
        <v>0.01</v>
      </c>
      <c r="X53">
        <v>0.01</v>
      </c>
      <c r="Y53">
        <v>0.94</v>
      </c>
      <c r="Z53">
        <v>0.04</v>
      </c>
      <c r="AA53">
        <v>0</v>
      </c>
      <c r="AB53">
        <v>0</v>
      </c>
      <c r="AD53">
        <v>0</v>
      </c>
      <c r="AE53">
        <v>0</v>
      </c>
      <c r="AF53">
        <v>0.99</v>
      </c>
      <c r="AG53">
        <v>0.01</v>
      </c>
      <c r="AH53">
        <v>0</v>
      </c>
      <c r="AI53">
        <v>0</v>
      </c>
      <c r="AK53">
        <v>0</v>
      </c>
      <c r="AL53">
        <v>0.01</v>
      </c>
      <c r="AM53">
        <v>0.98</v>
      </c>
      <c r="AN53">
        <v>0.01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0.05</v>
      </c>
      <c r="AU53">
        <v>0.91</v>
      </c>
      <c r="AV53">
        <v>0.04</v>
      </c>
      <c r="AW53">
        <v>0.01</v>
      </c>
      <c r="AX53">
        <v>0</v>
      </c>
      <c r="AY53">
        <v>0</v>
      </c>
      <c r="AZ53">
        <v>0</v>
      </c>
      <c r="BA53">
        <v>0</v>
      </c>
      <c r="BB53">
        <v>0.95</v>
      </c>
      <c r="BC53">
        <v>0.04</v>
      </c>
      <c r="BD53">
        <v>0.01</v>
      </c>
      <c r="BE53">
        <v>0</v>
      </c>
      <c r="BF53">
        <v>0</v>
      </c>
      <c r="BG53">
        <v>0.01</v>
      </c>
      <c r="BH53">
        <v>0.01</v>
      </c>
      <c r="BI53">
        <v>0.95</v>
      </c>
      <c r="BJ53">
        <v>0.02</v>
      </c>
      <c r="BK53">
        <v>0</v>
      </c>
      <c r="BL53">
        <v>0</v>
      </c>
      <c r="BM53">
        <v>0</v>
      </c>
      <c r="BN53">
        <v>0</v>
      </c>
      <c r="BO53">
        <v>0.04</v>
      </c>
      <c r="BP53">
        <v>0.95</v>
      </c>
      <c r="BQ53">
        <v>0.01</v>
      </c>
      <c r="BR53">
        <v>0</v>
      </c>
      <c r="BS53">
        <v>0</v>
      </c>
      <c r="BT53">
        <v>0</v>
      </c>
      <c r="BU53">
        <v>0</v>
      </c>
      <c r="BV53">
        <v>0.01</v>
      </c>
      <c r="BW53">
        <v>0.98</v>
      </c>
      <c r="BX53">
        <v>0.01</v>
      </c>
      <c r="BY53">
        <v>0</v>
      </c>
      <c r="BZ53">
        <v>0</v>
      </c>
    </row>
    <row r="54" spans="1:78" x14ac:dyDescent="0.25">
      <c r="A54" t="s">
        <v>3</v>
      </c>
      <c r="B54" s="12">
        <f t="shared" si="15"/>
        <v>8.299999999999999E-2</v>
      </c>
      <c r="C54" s="12">
        <f t="shared" si="15"/>
        <v>7.5999999999999984E-2</v>
      </c>
      <c r="D54" s="12">
        <f t="shared" si="15"/>
        <v>7.4999999999999997E-2</v>
      </c>
      <c r="E54" s="11">
        <f t="shared" si="15"/>
        <v>0.67500000000000004</v>
      </c>
      <c r="F54" s="12">
        <f t="shared" si="15"/>
        <v>2.8000000000000004E-2</v>
      </c>
      <c r="G54" s="12">
        <f t="shared" si="15"/>
        <v>6.4999999999999988E-2</v>
      </c>
      <c r="I54" s="1">
        <v>0.08</v>
      </c>
      <c r="J54" s="1">
        <v>0.09</v>
      </c>
      <c r="K54" s="11">
        <v>0.06</v>
      </c>
      <c r="L54" s="1">
        <v>0.68</v>
      </c>
      <c r="M54" s="1">
        <v>0.03</v>
      </c>
      <c r="N54">
        <v>0.06</v>
      </c>
      <c r="P54">
        <v>0.08</v>
      </c>
      <c r="Q54">
        <v>0.06</v>
      </c>
      <c r="R54">
        <v>0.08</v>
      </c>
      <c r="S54">
        <v>0.68</v>
      </c>
      <c r="T54">
        <v>0.04</v>
      </c>
      <c r="U54">
        <v>0.06</v>
      </c>
      <c r="W54">
        <v>7.0000000000000007E-2</v>
      </c>
      <c r="X54">
        <v>0.08</v>
      </c>
      <c r="Y54">
        <v>0.08</v>
      </c>
      <c r="Z54">
        <v>0.68</v>
      </c>
      <c r="AA54">
        <v>0.03</v>
      </c>
      <c r="AB54">
        <v>7.0000000000000007E-2</v>
      </c>
      <c r="AD54">
        <v>7.0000000000000007E-2</v>
      </c>
      <c r="AE54">
        <v>7.0000000000000007E-2</v>
      </c>
      <c r="AF54">
        <v>7.0000000000000007E-2</v>
      </c>
      <c r="AG54">
        <v>0.7</v>
      </c>
      <c r="AH54">
        <v>0.04</v>
      </c>
      <c r="AI54">
        <v>0.06</v>
      </c>
      <c r="AK54">
        <v>0.08</v>
      </c>
      <c r="AL54">
        <v>7.0000000000000007E-2</v>
      </c>
      <c r="AM54">
        <v>7.0000000000000007E-2</v>
      </c>
      <c r="AN54">
        <v>0.71</v>
      </c>
      <c r="AO54">
        <v>0.01</v>
      </c>
      <c r="AP54">
        <v>7.0000000000000007E-2</v>
      </c>
      <c r="AQ54">
        <v>0.08</v>
      </c>
      <c r="AR54">
        <v>0</v>
      </c>
      <c r="AS54">
        <v>7.0000000000000007E-2</v>
      </c>
      <c r="AT54">
        <v>0.09</v>
      </c>
      <c r="AU54">
        <v>0.1</v>
      </c>
      <c r="AV54">
        <v>0.66</v>
      </c>
      <c r="AW54">
        <v>0.01</v>
      </c>
      <c r="AX54">
        <v>7.0000000000000007E-2</v>
      </c>
      <c r="AY54">
        <v>0</v>
      </c>
      <c r="AZ54">
        <v>0.1</v>
      </c>
      <c r="BA54">
        <v>0.08</v>
      </c>
      <c r="BB54">
        <v>7.0000000000000007E-2</v>
      </c>
      <c r="BC54">
        <v>0.69</v>
      </c>
      <c r="BD54">
        <v>0.02</v>
      </c>
      <c r="BE54">
        <v>0.04</v>
      </c>
      <c r="BF54">
        <v>0</v>
      </c>
      <c r="BG54">
        <v>0.08</v>
      </c>
      <c r="BH54">
        <v>0.06</v>
      </c>
      <c r="BI54">
        <v>0.06</v>
      </c>
      <c r="BJ54">
        <v>0.7</v>
      </c>
      <c r="BK54">
        <v>0.03</v>
      </c>
      <c r="BL54">
        <v>0.06</v>
      </c>
      <c r="BM54">
        <v>0</v>
      </c>
      <c r="BN54">
        <v>0.09</v>
      </c>
      <c r="BO54">
        <v>0.09</v>
      </c>
      <c r="BP54">
        <v>0.09</v>
      </c>
      <c r="BQ54">
        <v>0.62</v>
      </c>
      <c r="BR54">
        <v>0.03</v>
      </c>
      <c r="BS54">
        <v>0.08</v>
      </c>
      <c r="BT54">
        <v>0</v>
      </c>
      <c r="BU54">
        <v>0.11</v>
      </c>
      <c r="BV54">
        <v>7.0000000000000007E-2</v>
      </c>
      <c r="BW54">
        <v>7.0000000000000007E-2</v>
      </c>
      <c r="BX54">
        <v>0.63</v>
      </c>
      <c r="BY54">
        <v>0.04</v>
      </c>
      <c r="BZ54">
        <v>0.08</v>
      </c>
    </row>
    <row r="55" spans="1:78" x14ac:dyDescent="0.25">
      <c r="A55" t="s">
        <v>4</v>
      </c>
      <c r="B55" s="12">
        <f t="shared" si="15"/>
        <v>0.10300000000000001</v>
      </c>
      <c r="C55" s="12">
        <f t="shared" si="15"/>
        <v>0.15599999999999997</v>
      </c>
      <c r="D55" s="12">
        <f t="shared" si="15"/>
        <v>0.12000000000000002</v>
      </c>
      <c r="E55" s="12">
        <f t="shared" si="15"/>
        <v>0.13200000000000003</v>
      </c>
      <c r="F55" s="11">
        <f t="shared" si="15"/>
        <v>0.30599999999999999</v>
      </c>
      <c r="G55" s="12">
        <f t="shared" si="15"/>
        <v>0.18699999999999997</v>
      </c>
      <c r="I55" s="1">
        <v>0.09</v>
      </c>
      <c r="J55" s="1">
        <v>0.14000000000000001</v>
      </c>
      <c r="K55" s="1">
        <v>0.11</v>
      </c>
      <c r="L55" s="11">
        <v>0.13</v>
      </c>
      <c r="M55" s="1">
        <v>0.35</v>
      </c>
      <c r="N55">
        <v>0.18</v>
      </c>
      <c r="P55">
        <v>0.11</v>
      </c>
      <c r="Q55">
        <v>0.13</v>
      </c>
      <c r="R55">
        <v>0.13</v>
      </c>
      <c r="S55">
        <v>0.13</v>
      </c>
      <c r="T55">
        <v>0.32</v>
      </c>
      <c r="U55">
        <v>0.19</v>
      </c>
      <c r="W55">
        <v>0.1</v>
      </c>
      <c r="X55">
        <v>0.16</v>
      </c>
      <c r="Y55">
        <v>0.12</v>
      </c>
      <c r="Z55">
        <v>0.13</v>
      </c>
      <c r="AA55">
        <v>0.31</v>
      </c>
      <c r="AB55">
        <v>0.18</v>
      </c>
      <c r="AD55">
        <v>0.11</v>
      </c>
      <c r="AE55">
        <v>0.15</v>
      </c>
      <c r="AF55">
        <v>0.14000000000000001</v>
      </c>
      <c r="AG55">
        <v>0.15</v>
      </c>
      <c r="AH55">
        <v>0.28000000000000003</v>
      </c>
      <c r="AI55">
        <v>0.19</v>
      </c>
      <c r="AK55">
        <v>0.11</v>
      </c>
      <c r="AL55">
        <v>0.15</v>
      </c>
      <c r="AM55">
        <v>0.11</v>
      </c>
      <c r="AN55">
        <v>0.12</v>
      </c>
      <c r="AO55">
        <v>0.32</v>
      </c>
      <c r="AP55">
        <v>0.19</v>
      </c>
      <c r="AQ55">
        <v>0.16</v>
      </c>
      <c r="AR55">
        <v>0</v>
      </c>
      <c r="AS55">
        <v>0.12</v>
      </c>
      <c r="AT55">
        <v>0.19</v>
      </c>
      <c r="AU55">
        <v>0.12</v>
      </c>
      <c r="AV55">
        <v>0.14000000000000001</v>
      </c>
      <c r="AW55">
        <v>0.23</v>
      </c>
      <c r="AX55">
        <v>0.21</v>
      </c>
      <c r="AY55">
        <v>0</v>
      </c>
      <c r="AZ55">
        <v>0.11</v>
      </c>
      <c r="BA55">
        <v>0.15</v>
      </c>
      <c r="BB55">
        <v>0.14000000000000001</v>
      </c>
      <c r="BC55">
        <v>0.16</v>
      </c>
      <c r="BD55">
        <v>0.25</v>
      </c>
      <c r="BE55">
        <v>0.19</v>
      </c>
      <c r="BF55">
        <v>0</v>
      </c>
      <c r="BG55">
        <v>0.09</v>
      </c>
      <c r="BH55">
        <v>0.15</v>
      </c>
      <c r="BI55">
        <v>0.1</v>
      </c>
      <c r="BJ55">
        <v>0.15</v>
      </c>
      <c r="BK55">
        <v>0.32</v>
      </c>
      <c r="BL55">
        <v>0.19</v>
      </c>
      <c r="BM55">
        <v>0</v>
      </c>
      <c r="BN55">
        <v>0.09</v>
      </c>
      <c r="BO55">
        <v>0.17</v>
      </c>
      <c r="BP55">
        <v>0.11</v>
      </c>
      <c r="BQ55">
        <v>0.11</v>
      </c>
      <c r="BR55">
        <v>0.33</v>
      </c>
      <c r="BS55">
        <v>0.19</v>
      </c>
      <c r="BT55">
        <v>0</v>
      </c>
      <c r="BU55">
        <v>0.1</v>
      </c>
      <c r="BV55">
        <v>0.17</v>
      </c>
      <c r="BW55">
        <v>0.12</v>
      </c>
      <c r="BX55">
        <v>0.1</v>
      </c>
      <c r="BY55">
        <v>0.35</v>
      </c>
      <c r="BZ55">
        <v>0.16</v>
      </c>
    </row>
    <row r="56" spans="1:78" x14ac:dyDescent="0.25">
      <c r="A56" t="s">
        <v>5</v>
      </c>
      <c r="B56" s="12">
        <f t="shared" si="15"/>
        <v>2.2000000000000002E-2</v>
      </c>
      <c r="C56" s="12">
        <f t="shared" si="15"/>
        <v>5.0000000000000001E-3</v>
      </c>
      <c r="D56" s="12">
        <f t="shared" si="15"/>
        <v>8.0000000000000002E-3</v>
      </c>
      <c r="E56" s="12">
        <f t="shared" si="15"/>
        <v>7.000000000000001E-3</v>
      </c>
      <c r="F56" s="12">
        <f t="shared" si="15"/>
        <v>3.0000000000000001E-3</v>
      </c>
      <c r="G56" s="11">
        <f t="shared" si="15"/>
        <v>0.95500000000000007</v>
      </c>
      <c r="I56" s="1">
        <v>0</v>
      </c>
      <c r="J56" s="1">
        <v>0</v>
      </c>
      <c r="K56" s="1">
        <v>0.02</v>
      </c>
      <c r="L56" s="1">
        <v>0.03</v>
      </c>
      <c r="M56" s="11">
        <v>0.01</v>
      </c>
      <c r="N56">
        <v>0.94</v>
      </c>
      <c r="P56">
        <v>0.01</v>
      </c>
      <c r="Q56">
        <v>0</v>
      </c>
      <c r="R56">
        <v>0.01</v>
      </c>
      <c r="S56">
        <v>0</v>
      </c>
      <c r="T56">
        <v>0</v>
      </c>
      <c r="U56">
        <v>0.98</v>
      </c>
      <c r="W56">
        <v>0.01</v>
      </c>
      <c r="X56">
        <v>0.02</v>
      </c>
      <c r="Y56">
        <v>0.01</v>
      </c>
      <c r="Z56">
        <v>0</v>
      </c>
      <c r="AA56">
        <v>0</v>
      </c>
      <c r="AB56">
        <v>0.96</v>
      </c>
      <c r="AD56">
        <v>0</v>
      </c>
      <c r="AE56">
        <v>0.01</v>
      </c>
      <c r="AF56">
        <v>0.01</v>
      </c>
      <c r="AG56">
        <v>0</v>
      </c>
      <c r="AH56">
        <v>0</v>
      </c>
      <c r="AI56">
        <v>0.98</v>
      </c>
      <c r="AK56">
        <v>0.05</v>
      </c>
      <c r="AL56">
        <v>0</v>
      </c>
      <c r="AM56">
        <v>0.01</v>
      </c>
      <c r="AN56">
        <v>0</v>
      </c>
      <c r="AO56">
        <v>0.01</v>
      </c>
      <c r="AP56">
        <v>0.93</v>
      </c>
      <c r="AQ56">
        <v>0.93</v>
      </c>
      <c r="AR56">
        <v>0</v>
      </c>
      <c r="AS56">
        <v>0.02</v>
      </c>
      <c r="AT56">
        <v>0.02</v>
      </c>
      <c r="AU56">
        <v>0</v>
      </c>
      <c r="AV56">
        <v>0</v>
      </c>
      <c r="AW56">
        <v>0.01</v>
      </c>
      <c r="AX56">
        <v>0.95</v>
      </c>
      <c r="AY56">
        <v>0</v>
      </c>
      <c r="AZ56">
        <v>0.01</v>
      </c>
      <c r="BA56">
        <v>0</v>
      </c>
      <c r="BB56">
        <v>0</v>
      </c>
      <c r="BC56">
        <v>0.01</v>
      </c>
      <c r="BD56">
        <v>0</v>
      </c>
      <c r="BE56">
        <v>0.98</v>
      </c>
      <c r="BF56">
        <v>0</v>
      </c>
      <c r="BG56">
        <v>0.03</v>
      </c>
      <c r="BH56">
        <v>0</v>
      </c>
      <c r="BI56">
        <v>0</v>
      </c>
      <c r="BJ56">
        <v>0.01</v>
      </c>
      <c r="BK56">
        <v>0</v>
      </c>
      <c r="BL56">
        <v>0.96</v>
      </c>
      <c r="BM56">
        <v>0</v>
      </c>
      <c r="BN56">
        <v>0.04</v>
      </c>
      <c r="BO56">
        <v>0</v>
      </c>
      <c r="BP56">
        <v>0.01</v>
      </c>
      <c r="BQ56">
        <v>0.01</v>
      </c>
      <c r="BR56">
        <v>0</v>
      </c>
      <c r="BS56">
        <v>0.94</v>
      </c>
      <c r="BT56">
        <v>0</v>
      </c>
      <c r="BU56">
        <v>0.05</v>
      </c>
      <c r="BV56">
        <v>0</v>
      </c>
      <c r="BW56">
        <v>0.01</v>
      </c>
      <c r="BX56">
        <v>0.01</v>
      </c>
      <c r="BY56">
        <v>0</v>
      </c>
      <c r="BZ56">
        <v>0.93</v>
      </c>
    </row>
    <row r="57" spans="1:78" x14ac:dyDescent="0.25">
      <c r="B57" s="1"/>
      <c r="C57" s="1"/>
      <c r="D57" s="1"/>
      <c r="E57" s="1"/>
      <c r="F57" s="1"/>
      <c r="G57" s="1"/>
      <c r="I57" s="1"/>
      <c r="J57" s="1"/>
      <c r="K57" s="1"/>
      <c r="L57" s="1"/>
      <c r="M57" s="1"/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</row>
    <row r="58" spans="1:78" x14ac:dyDescent="0.25">
      <c r="B58" s="11">
        <f>AVERAGE(I58,P58,W58,AD58,AK58,AS58,AZ58,BG58,BN58,BU58)</f>
        <v>0.80700000000000005</v>
      </c>
      <c r="C58" s="1"/>
      <c r="D58" s="1"/>
      <c r="E58" s="1"/>
      <c r="F58" s="1"/>
      <c r="G58" s="1"/>
      <c r="I58" s="1">
        <v>0.82</v>
      </c>
      <c r="J58" s="1">
        <v>1052</v>
      </c>
      <c r="K58" s="1"/>
      <c r="L58" s="1"/>
      <c r="M58" s="1"/>
      <c r="P58">
        <v>0.81</v>
      </c>
      <c r="Q58">
        <v>1048</v>
      </c>
      <c r="W58">
        <v>0.81</v>
      </c>
      <c r="X58">
        <v>1048</v>
      </c>
      <c r="AD58">
        <v>0.82</v>
      </c>
      <c r="AE58">
        <v>1048</v>
      </c>
      <c r="AK58">
        <v>0.81</v>
      </c>
      <c r="AL58">
        <v>1048</v>
      </c>
      <c r="AQ58">
        <v>0</v>
      </c>
      <c r="AR58">
        <v>0</v>
      </c>
      <c r="AS58">
        <v>0.78</v>
      </c>
      <c r="AT58">
        <v>1049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0.8</v>
      </c>
      <c r="BA58">
        <v>1050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0.82</v>
      </c>
      <c r="BH58">
        <v>1051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0.8</v>
      </c>
      <c r="BO58">
        <v>1051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0.8</v>
      </c>
      <c r="BV58">
        <v>1049</v>
      </c>
      <c r="BW58">
        <v>0</v>
      </c>
      <c r="BX58">
        <v>0</v>
      </c>
      <c r="BY58">
        <v>0</v>
      </c>
      <c r="BZ58">
        <v>0</v>
      </c>
    </row>
    <row r="59" spans="1:78" x14ac:dyDescent="0.25">
      <c r="B59" s="1"/>
      <c r="C59" s="1"/>
      <c r="D59" s="1"/>
      <c r="E59" s="1"/>
      <c r="F59" s="1"/>
      <c r="G59" s="1"/>
      <c r="I59" s="1"/>
      <c r="J59" s="1"/>
      <c r="K59" s="1"/>
      <c r="L59" s="1"/>
      <c r="M59" s="1"/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</row>
    <row r="60" spans="1:78" x14ac:dyDescent="0.25">
      <c r="B60" s="1"/>
      <c r="C60" s="1"/>
      <c r="D60" s="1"/>
      <c r="E60" s="1"/>
      <c r="F60" s="1"/>
      <c r="G60" s="1"/>
      <c r="I60" s="1"/>
      <c r="J60" s="1"/>
      <c r="K60" s="1"/>
      <c r="L60" s="1"/>
      <c r="M60" s="1"/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</row>
    <row r="61" spans="1:78" x14ac:dyDescent="0.25">
      <c r="B61" t="s">
        <v>0</v>
      </c>
      <c r="C61" t="s">
        <v>2</v>
      </c>
      <c r="D61" t="s">
        <v>1</v>
      </c>
      <c r="E61" t="s">
        <v>3</v>
      </c>
      <c r="F61" t="s">
        <v>4</v>
      </c>
      <c r="G61" t="s">
        <v>5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</row>
    <row r="62" spans="1:78" x14ac:dyDescent="0.25">
      <c r="A62" t="s">
        <v>0</v>
      </c>
      <c r="B62" s="11">
        <f t="shared" ref="B62:G67" si="16">AVERAGE(I62,P62,W62,AD62,AK62,AS62,AZ62,BG62,BN62,BU62)</f>
        <v>0.64499999999999991</v>
      </c>
      <c r="C62" s="12">
        <f t="shared" si="16"/>
        <v>1.0999999999999999E-2</v>
      </c>
      <c r="D62" s="12">
        <f t="shared" si="16"/>
        <v>2.1999999999999999E-2</v>
      </c>
      <c r="E62" s="12">
        <f t="shared" si="16"/>
        <v>8.7999999999999995E-2</v>
      </c>
      <c r="F62" s="12">
        <f t="shared" si="16"/>
        <v>3.3000000000000002E-2</v>
      </c>
      <c r="G62" s="12">
        <f t="shared" si="16"/>
        <v>0.20099999999999998</v>
      </c>
      <c r="I62" s="1">
        <v>0.88</v>
      </c>
      <c r="J62" s="1">
        <v>0</v>
      </c>
      <c r="K62" s="1">
        <v>0</v>
      </c>
      <c r="L62" s="1">
        <v>0</v>
      </c>
      <c r="M62" s="1">
        <v>0</v>
      </c>
      <c r="N62">
        <v>0.13</v>
      </c>
      <c r="P62">
        <v>0.67</v>
      </c>
      <c r="Q62">
        <v>0</v>
      </c>
      <c r="R62">
        <v>0</v>
      </c>
      <c r="S62">
        <v>0</v>
      </c>
      <c r="T62">
        <v>0.11</v>
      </c>
      <c r="U62">
        <v>0.22</v>
      </c>
      <c r="W62">
        <v>0.89</v>
      </c>
      <c r="X62">
        <v>0</v>
      </c>
      <c r="Y62">
        <v>0</v>
      </c>
      <c r="Z62">
        <v>0.11</v>
      </c>
      <c r="AA62">
        <v>0</v>
      </c>
      <c r="AB62">
        <v>0</v>
      </c>
      <c r="AD62">
        <v>0.67</v>
      </c>
      <c r="AE62">
        <v>0</v>
      </c>
      <c r="AF62">
        <v>0</v>
      </c>
      <c r="AG62">
        <v>0</v>
      </c>
      <c r="AH62">
        <v>0.11</v>
      </c>
      <c r="AI62">
        <v>0.22</v>
      </c>
      <c r="AK62">
        <v>0.67</v>
      </c>
      <c r="AL62">
        <v>0</v>
      </c>
      <c r="AM62">
        <v>0</v>
      </c>
      <c r="AN62">
        <v>0.11</v>
      </c>
      <c r="AO62">
        <v>0</v>
      </c>
      <c r="AP62">
        <v>0.22</v>
      </c>
      <c r="AQ62">
        <v>0.11</v>
      </c>
      <c r="AR62">
        <v>0</v>
      </c>
      <c r="AS62">
        <v>0.78</v>
      </c>
      <c r="AT62">
        <v>0.11</v>
      </c>
      <c r="AU62">
        <v>0</v>
      </c>
      <c r="AV62">
        <v>0</v>
      </c>
      <c r="AW62">
        <v>0</v>
      </c>
      <c r="AX62">
        <v>0.11</v>
      </c>
      <c r="AY62">
        <v>0</v>
      </c>
      <c r="AZ62">
        <v>0.56000000000000005</v>
      </c>
      <c r="BA62">
        <v>0</v>
      </c>
      <c r="BB62">
        <v>0</v>
      </c>
      <c r="BC62">
        <v>0.11</v>
      </c>
      <c r="BD62">
        <v>0.11</v>
      </c>
      <c r="BE62">
        <v>0.22</v>
      </c>
      <c r="BF62">
        <v>0</v>
      </c>
      <c r="BG62">
        <v>0.33</v>
      </c>
      <c r="BH62">
        <v>0</v>
      </c>
      <c r="BI62">
        <v>0</v>
      </c>
      <c r="BJ62">
        <v>0.11</v>
      </c>
      <c r="BK62">
        <v>0</v>
      </c>
      <c r="BL62">
        <v>0.56000000000000005</v>
      </c>
      <c r="BM62">
        <v>0</v>
      </c>
      <c r="BN62">
        <v>0.44</v>
      </c>
      <c r="BO62">
        <v>0</v>
      </c>
      <c r="BP62">
        <v>0.11</v>
      </c>
      <c r="BQ62">
        <v>0.22</v>
      </c>
      <c r="BR62">
        <v>0</v>
      </c>
      <c r="BS62">
        <v>0.22</v>
      </c>
      <c r="BT62">
        <v>0</v>
      </c>
      <c r="BU62">
        <v>0.56000000000000005</v>
      </c>
      <c r="BV62">
        <v>0</v>
      </c>
      <c r="BW62">
        <v>0.11</v>
      </c>
      <c r="BX62">
        <v>0.22</v>
      </c>
      <c r="BY62">
        <v>0</v>
      </c>
      <c r="BZ62">
        <v>0.11</v>
      </c>
    </row>
    <row r="63" spans="1:78" x14ac:dyDescent="0.25">
      <c r="A63" t="s">
        <v>2</v>
      </c>
      <c r="B63" s="12">
        <f t="shared" si="16"/>
        <v>0.05</v>
      </c>
      <c r="C63" s="11">
        <f t="shared" si="16"/>
        <v>0.5159999999999999</v>
      </c>
      <c r="D63" s="12">
        <f t="shared" si="16"/>
        <v>0.27900000000000003</v>
      </c>
      <c r="E63" s="12">
        <f t="shared" si="16"/>
        <v>0.10500000000000001</v>
      </c>
      <c r="F63" s="12">
        <f t="shared" si="16"/>
        <v>2.7000000000000003E-2</v>
      </c>
      <c r="G63" s="12">
        <f t="shared" si="16"/>
        <v>2.7000000000000003E-2</v>
      </c>
      <c r="I63" s="11">
        <v>0</v>
      </c>
      <c r="J63" s="1">
        <v>0.43</v>
      </c>
      <c r="K63" s="1">
        <v>0.43</v>
      </c>
      <c r="L63" s="1">
        <v>0.14000000000000001</v>
      </c>
      <c r="M63" s="1">
        <v>0</v>
      </c>
      <c r="N63">
        <v>0</v>
      </c>
      <c r="P63">
        <v>0.25</v>
      </c>
      <c r="Q63">
        <v>0.25</v>
      </c>
      <c r="R63">
        <v>0.13</v>
      </c>
      <c r="S63">
        <v>0.25</v>
      </c>
      <c r="T63">
        <v>0</v>
      </c>
      <c r="U63">
        <v>0.13</v>
      </c>
      <c r="W63">
        <v>0</v>
      </c>
      <c r="X63">
        <v>0.5</v>
      </c>
      <c r="Y63">
        <v>0.38</v>
      </c>
      <c r="Z63">
        <v>0.13</v>
      </c>
      <c r="AA63">
        <v>0</v>
      </c>
      <c r="AB63">
        <v>0</v>
      </c>
      <c r="AD63">
        <v>0</v>
      </c>
      <c r="AE63">
        <v>0.5</v>
      </c>
      <c r="AF63">
        <v>0.25</v>
      </c>
      <c r="AG63">
        <v>0.13</v>
      </c>
      <c r="AH63">
        <v>0.13</v>
      </c>
      <c r="AI63">
        <v>0</v>
      </c>
      <c r="AK63">
        <v>0.25</v>
      </c>
      <c r="AL63">
        <v>0.5</v>
      </c>
      <c r="AM63">
        <v>0.25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0.5</v>
      </c>
      <c r="AU63">
        <v>0.38</v>
      </c>
      <c r="AV63">
        <v>0.13</v>
      </c>
      <c r="AW63">
        <v>0</v>
      </c>
      <c r="AX63">
        <v>0</v>
      </c>
      <c r="AY63">
        <v>0</v>
      </c>
      <c r="AZ63">
        <v>0</v>
      </c>
      <c r="BA63">
        <v>0.43</v>
      </c>
      <c r="BB63">
        <v>0.28999999999999998</v>
      </c>
      <c r="BC63">
        <v>0.14000000000000001</v>
      </c>
      <c r="BD63">
        <v>0.14000000000000001</v>
      </c>
      <c r="BE63">
        <v>0</v>
      </c>
      <c r="BF63">
        <v>0</v>
      </c>
      <c r="BG63">
        <v>0</v>
      </c>
      <c r="BH63">
        <v>0.71</v>
      </c>
      <c r="BI63">
        <v>0.28999999999999998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0.71</v>
      </c>
      <c r="BP63">
        <v>0.14000000000000001</v>
      </c>
      <c r="BQ63">
        <v>0</v>
      </c>
      <c r="BR63">
        <v>0</v>
      </c>
      <c r="BS63">
        <v>0.14000000000000001</v>
      </c>
      <c r="BT63">
        <v>0</v>
      </c>
      <c r="BU63">
        <v>0</v>
      </c>
      <c r="BV63">
        <v>0.63</v>
      </c>
      <c r="BW63">
        <v>0.25</v>
      </c>
      <c r="BX63">
        <v>0.13</v>
      </c>
      <c r="BY63">
        <v>0</v>
      </c>
      <c r="BZ63">
        <v>0</v>
      </c>
    </row>
    <row r="64" spans="1:78" x14ac:dyDescent="0.25">
      <c r="A64" t="s">
        <v>1</v>
      </c>
      <c r="B64" s="12">
        <f t="shared" si="16"/>
        <v>5.2000000000000005E-2</v>
      </c>
      <c r="C64" s="12">
        <f t="shared" si="16"/>
        <v>0.30399999999999999</v>
      </c>
      <c r="D64" s="11">
        <f t="shared" si="16"/>
        <v>0.39400000000000002</v>
      </c>
      <c r="E64" s="12">
        <f t="shared" si="16"/>
        <v>0.16900000000000001</v>
      </c>
      <c r="F64" s="12">
        <f t="shared" si="16"/>
        <v>3.3000000000000002E-2</v>
      </c>
      <c r="G64" s="12">
        <f t="shared" si="16"/>
        <v>4.3999999999999997E-2</v>
      </c>
      <c r="I64" s="1">
        <v>0</v>
      </c>
      <c r="J64" s="11">
        <v>0.22</v>
      </c>
      <c r="K64" s="1">
        <v>0.67</v>
      </c>
      <c r="L64" s="1">
        <v>0</v>
      </c>
      <c r="M64" s="1">
        <v>0.11</v>
      </c>
      <c r="N64">
        <v>0</v>
      </c>
      <c r="P64">
        <v>0.1</v>
      </c>
      <c r="Q64">
        <v>0.4</v>
      </c>
      <c r="R64">
        <v>0.2</v>
      </c>
      <c r="S64">
        <v>0.3</v>
      </c>
      <c r="T64">
        <v>0</v>
      </c>
      <c r="U64">
        <v>0</v>
      </c>
      <c r="W64">
        <v>0</v>
      </c>
      <c r="X64">
        <v>0.6</v>
      </c>
      <c r="Y64">
        <v>0.4</v>
      </c>
      <c r="Z64">
        <v>0</v>
      </c>
      <c r="AA64">
        <v>0</v>
      </c>
      <c r="AB64">
        <v>0</v>
      </c>
      <c r="AD64">
        <v>0</v>
      </c>
      <c r="AE64">
        <v>0.3</v>
      </c>
      <c r="AF64">
        <v>0.5</v>
      </c>
      <c r="AG64">
        <v>0.2</v>
      </c>
      <c r="AH64">
        <v>0</v>
      </c>
      <c r="AI64">
        <v>0</v>
      </c>
      <c r="AK64">
        <v>0.2</v>
      </c>
      <c r="AL64">
        <v>0.2</v>
      </c>
      <c r="AM64">
        <v>0.4</v>
      </c>
      <c r="AN64">
        <v>0.2</v>
      </c>
      <c r="AO64">
        <v>0</v>
      </c>
      <c r="AP64">
        <v>0</v>
      </c>
      <c r="AQ64">
        <v>0.11</v>
      </c>
      <c r="AR64">
        <v>0</v>
      </c>
      <c r="AS64">
        <v>0.11</v>
      </c>
      <c r="AT64">
        <v>0.22</v>
      </c>
      <c r="AU64">
        <v>0.33</v>
      </c>
      <c r="AV64">
        <v>0.11</v>
      </c>
      <c r="AW64">
        <v>0</v>
      </c>
      <c r="AX64">
        <v>0.22</v>
      </c>
      <c r="AY64">
        <v>0</v>
      </c>
      <c r="AZ64">
        <v>0</v>
      </c>
      <c r="BA64">
        <v>0.11</v>
      </c>
      <c r="BB64">
        <v>0.22</v>
      </c>
      <c r="BC64">
        <v>0.44</v>
      </c>
      <c r="BD64">
        <v>0.22</v>
      </c>
      <c r="BE64">
        <v>0</v>
      </c>
      <c r="BF64">
        <v>0</v>
      </c>
      <c r="BG64">
        <v>0.11</v>
      </c>
      <c r="BH64">
        <v>0.33</v>
      </c>
      <c r="BI64">
        <v>0.22</v>
      </c>
      <c r="BJ64">
        <v>0.33</v>
      </c>
      <c r="BK64">
        <v>0</v>
      </c>
      <c r="BL64">
        <v>0</v>
      </c>
      <c r="BM64">
        <v>0</v>
      </c>
      <c r="BN64">
        <v>0</v>
      </c>
      <c r="BO64">
        <v>0.33</v>
      </c>
      <c r="BP64">
        <v>0.44</v>
      </c>
      <c r="BQ64">
        <v>0.11</v>
      </c>
      <c r="BR64">
        <v>0</v>
      </c>
      <c r="BS64">
        <v>0.11</v>
      </c>
      <c r="BT64">
        <v>0</v>
      </c>
      <c r="BU64">
        <v>0</v>
      </c>
      <c r="BV64">
        <v>0.33</v>
      </c>
      <c r="BW64">
        <v>0.56000000000000005</v>
      </c>
      <c r="BX64">
        <v>0</v>
      </c>
      <c r="BY64">
        <v>0</v>
      </c>
      <c r="BZ64">
        <v>0.11</v>
      </c>
    </row>
    <row r="65" spans="1:78" x14ac:dyDescent="0.25">
      <c r="A65" t="s">
        <v>3</v>
      </c>
      <c r="B65" s="12">
        <f t="shared" si="16"/>
        <v>0.12600000000000006</v>
      </c>
      <c r="C65" s="12">
        <f t="shared" si="16"/>
        <v>0.13100000000000001</v>
      </c>
      <c r="D65" s="12">
        <f t="shared" si="16"/>
        <v>0.12600000000000003</v>
      </c>
      <c r="E65" s="11">
        <f t="shared" si="16"/>
        <v>0.43899999999999995</v>
      </c>
      <c r="F65" s="12">
        <f t="shared" si="16"/>
        <v>4.5000000000000005E-2</v>
      </c>
      <c r="G65" s="12">
        <f t="shared" si="16"/>
        <v>0.13</v>
      </c>
      <c r="I65" s="1">
        <v>0.05</v>
      </c>
      <c r="J65" s="1">
        <v>0.19</v>
      </c>
      <c r="K65" s="11">
        <v>7.0000000000000007E-2</v>
      </c>
      <c r="L65" s="1">
        <v>0.45</v>
      </c>
      <c r="M65" s="1">
        <v>7.0000000000000007E-2</v>
      </c>
      <c r="N65">
        <v>0.17</v>
      </c>
      <c r="P65">
        <v>0.05</v>
      </c>
      <c r="Q65">
        <v>7.0000000000000007E-2</v>
      </c>
      <c r="R65">
        <v>0.12</v>
      </c>
      <c r="S65">
        <v>0.51</v>
      </c>
      <c r="T65">
        <v>0.09</v>
      </c>
      <c r="U65">
        <v>0.16</v>
      </c>
      <c r="W65">
        <v>0.12</v>
      </c>
      <c r="X65">
        <v>0.14000000000000001</v>
      </c>
      <c r="Y65">
        <v>0.16</v>
      </c>
      <c r="Z65">
        <v>0.44</v>
      </c>
      <c r="AA65">
        <v>0.09</v>
      </c>
      <c r="AB65">
        <v>0.05</v>
      </c>
      <c r="AD65">
        <v>0.19</v>
      </c>
      <c r="AE65">
        <v>0.23</v>
      </c>
      <c r="AF65">
        <v>0.12</v>
      </c>
      <c r="AG65">
        <v>0.35</v>
      </c>
      <c r="AH65">
        <v>0.02</v>
      </c>
      <c r="AI65">
        <v>0.09</v>
      </c>
      <c r="AK65">
        <v>0.12</v>
      </c>
      <c r="AL65">
        <v>0.09</v>
      </c>
      <c r="AM65">
        <v>0.16</v>
      </c>
      <c r="AN65">
        <v>0.51</v>
      </c>
      <c r="AO65">
        <v>0.02</v>
      </c>
      <c r="AP65">
        <v>0.09</v>
      </c>
      <c r="AQ65">
        <v>0.09</v>
      </c>
      <c r="AR65">
        <v>0</v>
      </c>
      <c r="AS65">
        <v>0.33</v>
      </c>
      <c r="AT65">
        <v>0.12</v>
      </c>
      <c r="AU65">
        <v>0.19</v>
      </c>
      <c r="AV65">
        <v>0.26</v>
      </c>
      <c r="AW65">
        <v>0.02</v>
      </c>
      <c r="AX65">
        <v>0.09</v>
      </c>
      <c r="AY65">
        <v>0</v>
      </c>
      <c r="AZ65">
        <v>0.05</v>
      </c>
      <c r="BA65">
        <v>0.16</v>
      </c>
      <c r="BB65">
        <v>0.14000000000000001</v>
      </c>
      <c r="BC65">
        <v>0.51</v>
      </c>
      <c r="BD65">
        <v>0</v>
      </c>
      <c r="BE65">
        <v>0.14000000000000001</v>
      </c>
      <c r="BF65">
        <v>0</v>
      </c>
      <c r="BG65">
        <v>0.12</v>
      </c>
      <c r="BH65">
        <v>0.12</v>
      </c>
      <c r="BI65">
        <v>0.02</v>
      </c>
      <c r="BJ65">
        <v>0.45</v>
      </c>
      <c r="BK65">
        <v>7.0000000000000007E-2</v>
      </c>
      <c r="BL65">
        <v>0.21</v>
      </c>
      <c r="BM65">
        <v>0</v>
      </c>
      <c r="BN65">
        <v>0.14000000000000001</v>
      </c>
      <c r="BO65">
        <v>7.0000000000000007E-2</v>
      </c>
      <c r="BP65">
        <v>0.14000000000000001</v>
      </c>
      <c r="BQ65">
        <v>0.4</v>
      </c>
      <c r="BR65">
        <v>0.02</v>
      </c>
      <c r="BS65">
        <v>0.21</v>
      </c>
      <c r="BT65">
        <v>0</v>
      </c>
      <c r="BU65">
        <v>0.09</v>
      </c>
      <c r="BV65">
        <v>0.12</v>
      </c>
      <c r="BW65">
        <v>0.14000000000000001</v>
      </c>
      <c r="BX65">
        <v>0.51</v>
      </c>
      <c r="BY65">
        <v>0.05</v>
      </c>
      <c r="BZ65">
        <v>0.09</v>
      </c>
    </row>
    <row r="66" spans="1:78" x14ac:dyDescent="0.25">
      <c r="A66" t="s">
        <v>4</v>
      </c>
      <c r="B66" s="12">
        <f t="shared" si="16"/>
        <v>0.15400000000000003</v>
      </c>
      <c r="C66" s="12">
        <f t="shared" si="16"/>
        <v>0.187</v>
      </c>
      <c r="D66" s="12">
        <f t="shared" si="16"/>
        <v>0.16199999999999998</v>
      </c>
      <c r="E66" s="12">
        <f t="shared" si="16"/>
        <v>0.188</v>
      </c>
      <c r="F66" s="11">
        <f t="shared" si="16"/>
        <v>8.5000000000000006E-2</v>
      </c>
      <c r="G66" s="12">
        <f t="shared" si="16"/>
        <v>0.22700000000000001</v>
      </c>
      <c r="I66" s="1">
        <v>0.19</v>
      </c>
      <c r="J66" s="1">
        <v>0.22</v>
      </c>
      <c r="K66" s="1">
        <v>0.11</v>
      </c>
      <c r="L66" s="11">
        <v>0.16</v>
      </c>
      <c r="M66" s="1">
        <v>0.11</v>
      </c>
      <c r="N66">
        <v>0.22</v>
      </c>
      <c r="P66">
        <v>0.08</v>
      </c>
      <c r="Q66">
        <v>0.27</v>
      </c>
      <c r="R66">
        <v>0.19</v>
      </c>
      <c r="S66">
        <v>0.14000000000000001</v>
      </c>
      <c r="T66">
        <v>0.08</v>
      </c>
      <c r="U66">
        <v>0.24</v>
      </c>
      <c r="W66">
        <v>0.22</v>
      </c>
      <c r="X66">
        <v>0.22</v>
      </c>
      <c r="Y66">
        <v>0.11</v>
      </c>
      <c r="Z66">
        <v>0.22</v>
      </c>
      <c r="AA66">
        <v>0</v>
      </c>
      <c r="AB66">
        <v>0.24</v>
      </c>
      <c r="AD66">
        <v>0.16</v>
      </c>
      <c r="AE66">
        <v>0.16</v>
      </c>
      <c r="AF66">
        <v>0.08</v>
      </c>
      <c r="AG66">
        <v>0.27</v>
      </c>
      <c r="AH66">
        <v>0.14000000000000001</v>
      </c>
      <c r="AI66">
        <v>0.19</v>
      </c>
      <c r="AK66">
        <v>0.19</v>
      </c>
      <c r="AL66">
        <v>0.14000000000000001</v>
      </c>
      <c r="AM66">
        <v>0.19</v>
      </c>
      <c r="AN66">
        <v>0.22</v>
      </c>
      <c r="AO66">
        <v>0.08</v>
      </c>
      <c r="AP66">
        <v>0.19</v>
      </c>
      <c r="AQ66">
        <v>0.32</v>
      </c>
      <c r="AR66">
        <v>0</v>
      </c>
      <c r="AS66">
        <v>0.08</v>
      </c>
      <c r="AT66">
        <v>0.27</v>
      </c>
      <c r="AU66">
        <v>0.16</v>
      </c>
      <c r="AV66">
        <v>0.16</v>
      </c>
      <c r="AW66">
        <v>0.03</v>
      </c>
      <c r="AX66">
        <v>0.3</v>
      </c>
      <c r="AY66">
        <v>0</v>
      </c>
      <c r="AZ66">
        <v>0.22</v>
      </c>
      <c r="BA66">
        <v>0.24</v>
      </c>
      <c r="BB66">
        <v>0.19</v>
      </c>
      <c r="BC66">
        <v>0.19</v>
      </c>
      <c r="BD66">
        <v>0.05</v>
      </c>
      <c r="BE66">
        <v>0.11</v>
      </c>
      <c r="BF66">
        <v>0</v>
      </c>
      <c r="BG66">
        <v>0.08</v>
      </c>
      <c r="BH66">
        <v>0.08</v>
      </c>
      <c r="BI66">
        <v>0.24</v>
      </c>
      <c r="BJ66">
        <v>0.22</v>
      </c>
      <c r="BK66">
        <v>0.14000000000000001</v>
      </c>
      <c r="BL66">
        <v>0.24</v>
      </c>
      <c r="BM66">
        <v>0</v>
      </c>
      <c r="BN66">
        <v>0.08</v>
      </c>
      <c r="BO66">
        <v>0.19</v>
      </c>
      <c r="BP66">
        <v>0.19</v>
      </c>
      <c r="BQ66">
        <v>0.19</v>
      </c>
      <c r="BR66">
        <v>0.14000000000000001</v>
      </c>
      <c r="BS66">
        <v>0.22</v>
      </c>
      <c r="BT66">
        <v>0</v>
      </c>
      <c r="BU66">
        <v>0.24</v>
      </c>
      <c r="BV66">
        <v>0.08</v>
      </c>
      <c r="BW66">
        <v>0.16</v>
      </c>
      <c r="BX66">
        <v>0.11</v>
      </c>
      <c r="BY66">
        <v>0.08</v>
      </c>
      <c r="BZ66">
        <v>0.32</v>
      </c>
    </row>
    <row r="67" spans="1:78" x14ac:dyDescent="0.25">
      <c r="A67" t="s">
        <v>5</v>
      </c>
      <c r="B67" s="12">
        <f t="shared" si="16"/>
        <v>0.24300000000000002</v>
      </c>
      <c r="C67" s="12">
        <f t="shared" si="16"/>
        <v>5.4000000000000006E-2</v>
      </c>
      <c r="D67" s="12">
        <f t="shared" si="16"/>
        <v>5.3999999999999992E-2</v>
      </c>
      <c r="E67" s="12">
        <f t="shared" si="16"/>
        <v>0.10800000000000001</v>
      </c>
      <c r="F67" s="12">
        <f t="shared" si="16"/>
        <v>9.8999999999999991E-2</v>
      </c>
      <c r="G67" s="11">
        <f t="shared" si="16"/>
        <v>0.43500000000000005</v>
      </c>
      <c r="I67" s="1">
        <v>0.27</v>
      </c>
      <c r="J67" s="1">
        <v>0</v>
      </c>
      <c r="K67" s="1">
        <v>0.09</v>
      </c>
      <c r="L67" s="1">
        <v>0.09</v>
      </c>
      <c r="M67" s="11">
        <v>0.09</v>
      </c>
      <c r="N67">
        <v>0.45</v>
      </c>
      <c r="P67">
        <v>0.27</v>
      </c>
      <c r="Q67">
        <v>0.09</v>
      </c>
      <c r="R67">
        <v>0.18</v>
      </c>
      <c r="S67">
        <v>0.18</v>
      </c>
      <c r="T67">
        <v>0.09</v>
      </c>
      <c r="U67">
        <v>0.18</v>
      </c>
      <c r="W67">
        <v>0.18</v>
      </c>
      <c r="X67">
        <v>0.09</v>
      </c>
      <c r="Y67">
        <v>0</v>
      </c>
      <c r="Z67">
        <v>0.18</v>
      </c>
      <c r="AA67">
        <v>0</v>
      </c>
      <c r="AB67">
        <v>0.55000000000000004</v>
      </c>
      <c r="AD67">
        <v>0.09</v>
      </c>
      <c r="AE67">
        <v>0.09</v>
      </c>
      <c r="AF67">
        <v>0.09</v>
      </c>
      <c r="AG67">
        <v>0.18</v>
      </c>
      <c r="AH67">
        <v>0.09</v>
      </c>
      <c r="AI67">
        <v>0.45</v>
      </c>
      <c r="AK67">
        <v>0.36</v>
      </c>
      <c r="AL67">
        <v>0.09</v>
      </c>
      <c r="AM67">
        <v>0.09</v>
      </c>
      <c r="AN67">
        <v>0</v>
      </c>
      <c r="AO67">
        <v>0.09</v>
      </c>
      <c r="AP67">
        <v>0.36</v>
      </c>
      <c r="AQ67">
        <v>0.64</v>
      </c>
      <c r="AR67">
        <v>0</v>
      </c>
      <c r="AS67">
        <v>0.36</v>
      </c>
      <c r="AT67">
        <v>0</v>
      </c>
      <c r="AU67">
        <v>0</v>
      </c>
      <c r="AV67">
        <v>0.18</v>
      </c>
      <c r="AW67">
        <v>0.09</v>
      </c>
      <c r="AX67">
        <v>0.36</v>
      </c>
      <c r="AY67">
        <v>0</v>
      </c>
      <c r="AZ67">
        <v>0.27</v>
      </c>
      <c r="BA67">
        <v>0</v>
      </c>
      <c r="BB67">
        <v>0</v>
      </c>
      <c r="BC67">
        <v>0.18</v>
      </c>
      <c r="BD67">
        <v>0</v>
      </c>
      <c r="BE67">
        <v>0.55000000000000004</v>
      </c>
      <c r="BF67">
        <v>0</v>
      </c>
      <c r="BG67">
        <v>0.09</v>
      </c>
      <c r="BH67">
        <v>0.18</v>
      </c>
      <c r="BI67">
        <v>0.09</v>
      </c>
      <c r="BJ67">
        <v>0</v>
      </c>
      <c r="BK67">
        <v>0.27</v>
      </c>
      <c r="BL67">
        <v>0.36</v>
      </c>
      <c r="BM67">
        <v>0</v>
      </c>
      <c r="BN67">
        <v>0.27</v>
      </c>
      <c r="BO67">
        <v>0</v>
      </c>
      <c r="BP67">
        <v>0</v>
      </c>
      <c r="BQ67">
        <v>0.09</v>
      </c>
      <c r="BR67">
        <v>0.18</v>
      </c>
      <c r="BS67">
        <v>0.45</v>
      </c>
      <c r="BT67">
        <v>0</v>
      </c>
      <c r="BU67">
        <v>0.27</v>
      </c>
      <c r="BV67">
        <v>0</v>
      </c>
      <c r="BW67">
        <v>0</v>
      </c>
      <c r="BX67">
        <v>0</v>
      </c>
      <c r="BY67">
        <v>0.09</v>
      </c>
      <c r="BZ67">
        <v>0.64</v>
      </c>
    </row>
    <row r="68" spans="1:78" x14ac:dyDescent="0.25">
      <c r="B68" s="1"/>
      <c r="C68" s="1"/>
      <c r="D68" s="1"/>
      <c r="E68" s="1"/>
      <c r="F68" s="1"/>
      <c r="G68" s="1"/>
      <c r="I68" s="1"/>
      <c r="J68" s="1"/>
      <c r="K68" s="1"/>
      <c r="L68" s="1"/>
      <c r="M68" s="1"/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</row>
    <row r="69" spans="1:78" x14ac:dyDescent="0.25">
      <c r="B69" s="11">
        <f>AVERAGE(I69,P69,W69,AD69,AK69,AS69,AZ69,BG69,BN69,BU69)</f>
        <v>0.41900000000000004</v>
      </c>
      <c r="C69" s="1"/>
      <c r="D69" s="1"/>
      <c r="E69" s="1"/>
      <c r="F69" s="1"/>
      <c r="G69" s="1"/>
      <c r="I69" s="1">
        <v>0.5</v>
      </c>
      <c r="J69" s="1">
        <v>114</v>
      </c>
      <c r="K69" s="1"/>
      <c r="L69" s="1"/>
      <c r="M69" s="1"/>
      <c r="P69">
        <v>0.32</v>
      </c>
      <c r="Q69">
        <v>118</v>
      </c>
      <c r="W69">
        <v>0.46</v>
      </c>
      <c r="X69">
        <v>118</v>
      </c>
      <c r="AD69">
        <v>0.43</v>
      </c>
      <c r="AE69">
        <v>118</v>
      </c>
      <c r="AK69">
        <v>0.42</v>
      </c>
      <c r="AL69">
        <v>118</v>
      </c>
      <c r="AQ69">
        <v>0</v>
      </c>
      <c r="AR69">
        <v>0</v>
      </c>
      <c r="AS69">
        <v>0.38</v>
      </c>
      <c r="AT69">
        <v>117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0.39</v>
      </c>
      <c r="BA69">
        <v>116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0.37</v>
      </c>
      <c r="BH69">
        <v>115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0.43</v>
      </c>
      <c r="BO69">
        <v>115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0.49</v>
      </c>
      <c r="BV69">
        <v>117</v>
      </c>
      <c r="BW69">
        <v>0</v>
      </c>
      <c r="BX69">
        <v>0</v>
      </c>
      <c r="BY69">
        <v>0</v>
      </c>
      <c r="BZ69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22372-7707-4C06-AC79-E81A693B37E0}">
  <dimension ref="A4:BZ35"/>
  <sheetViews>
    <sheetView workbookViewId="0">
      <selection activeCell="H18" sqref="H18"/>
    </sheetView>
  </sheetViews>
  <sheetFormatPr defaultRowHeight="15" x14ac:dyDescent="0.25"/>
  <sheetData>
    <row r="4" spans="1:78" x14ac:dyDescent="0.25">
      <c r="B4" s="13" t="s">
        <v>0</v>
      </c>
      <c r="C4" s="13" t="s">
        <v>2</v>
      </c>
      <c r="D4" s="13" t="s">
        <v>3</v>
      </c>
      <c r="E4" s="13" t="s">
        <v>5</v>
      </c>
      <c r="F4" s="13"/>
    </row>
    <row r="5" spans="1:78" x14ac:dyDescent="0.25">
      <c r="A5" t="s">
        <v>0</v>
      </c>
      <c r="B5" s="11">
        <f>AVERAGE(I5,P5,W5,AD5,AK5,AS5,AZ5,BG5,BN5,BU5)</f>
        <v>0.98000000000000009</v>
      </c>
      <c r="C5" s="12">
        <f t="shared" ref="C5:E5" si="0">AVERAGE(J5,Q5,X5,AE5,AL5,AT5,BA5,BH5,BO5,BV5)</f>
        <v>1E-3</v>
      </c>
      <c r="D5" s="12">
        <f t="shared" si="0"/>
        <v>2E-3</v>
      </c>
      <c r="E5" s="12">
        <f t="shared" si="0"/>
        <v>1.9000000000000003E-2</v>
      </c>
      <c r="F5" s="12"/>
      <c r="G5" s="12"/>
      <c r="I5">
        <v>0.98</v>
      </c>
      <c r="J5">
        <v>0</v>
      </c>
      <c r="K5">
        <v>0</v>
      </c>
      <c r="L5">
        <v>0.02</v>
      </c>
      <c r="M5">
        <v>0</v>
      </c>
      <c r="N5">
        <v>0</v>
      </c>
      <c r="P5">
        <v>0.94</v>
      </c>
      <c r="Q5">
        <v>0</v>
      </c>
      <c r="R5">
        <v>0.01</v>
      </c>
      <c r="S5">
        <v>0.05</v>
      </c>
      <c r="T5">
        <v>0</v>
      </c>
      <c r="U5">
        <v>0</v>
      </c>
      <c r="W5">
        <v>0.99</v>
      </c>
      <c r="X5">
        <v>0</v>
      </c>
      <c r="Y5">
        <v>0</v>
      </c>
      <c r="Z5">
        <v>0.01</v>
      </c>
      <c r="AA5">
        <v>0</v>
      </c>
      <c r="AB5">
        <v>0</v>
      </c>
      <c r="AD5">
        <v>0.98</v>
      </c>
      <c r="AE5">
        <v>0.01</v>
      </c>
      <c r="AF5">
        <v>0</v>
      </c>
      <c r="AG5">
        <v>0.01</v>
      </c>
      <c r="AH5">
        <v>0</v>
      </c>
      <c r="AI5">
        <v>0</v>
      </c>
      <c r="AK5">
        <v>0.98</v>
      </c>
      <c r="AL5">
        <v>0</v>
      </c>
      <c r="AM5">
        <v>0</v>
      </c>
      <c r="AN5">
        <v>0.03</v>
      </c>
      <c r="AO5">
        <v>0</v>
      </c>
      <c r="AP5">
        <v>0</v>
      </c>
      <c r="AQ5">
        <v>0</v>
      </c>
      <c r="AR5">
        <v>0</v>
      </c>
      <c r="AS5">
        <v>0.98</v>
      </c>
      <c r="AT5">
        <v>0</v>
      </c>
      <c r="AU5">
        <v>0.01</v>
      </c>
      <c r="AV5">
        <v>0.01</v>
      </c>
      <c r="AW5">
        <v>0</v>
      </c>
      <c r="AX5">
        <v>0</v>
      </c>
      <c r="AY5">
        <v>0</v>
      </c>
      <c r="AZ5">
        <v>0.99</v>
      </c>
      <c r="BA5">
        <v>0</v>
      </c>
      <c r="BB5">
        <v>0</v>
      </c>
      <c r="BC5">
        <v>0.01</v>
      </c>
      <c r="BD5">
        <v>0</v>
      </c>
      <c r="BE5">
        <v>0</v>
      </c>
      <c r="BF5">
        <v>0</v>
      </c>
      <c r="BG5">
        <v>0.99</v>
      </c>
      <c r="BH5">
        <v>0</v>
      </c>
      <c r="BI5">
        <v>0</v>
      </c>
      <c r="BJ5">
        <v>0.01</v>
      </c>
      <c r="BK5">
        <v>0</v>
      </c>
      <c r="BL5">
        <v>0</v>
      </c>
      <c r="BM5">
        <v>0</v>
      </c>
      <c r="BN5">
        <v>0.99</v>
      </c>
      <c r="BO5">
        <v>0</v>
      </c>
      <c r="BP5">
        <v>0</v>
      </c>
      <c r="BQ5">
        <v>0.01</v>
      </c>
      <c r="BR5">
        <v>0</v>
      </c>
      <c r="BS5">
        <v>0</v>
      </c>
      <c r="BT5">
        <v>0</v>
      </c>
      <c r="BU5">
        <v>0.98</v>
      </c>
      <c r="BV5">
        <v>0</v>
      </c>
      <c r="BW5">
        <v>0</v>
      </c>
      <c r="BX5">
        <v>0.03</v>
      </c>
      <c r="BY5">
        <v>0</v>
      </c>
      <c r="BZ5">
        <v>0</v>
      </c>
    </row>
    <row r="6" spans="1:78" x14ac:dyDescent="0.25">
      <c r="A6" t="s">
        <v>2</v>
      </c>
      <c r="B6" s="12">
        <f t="shared" ref="B6:B12" si="1">AVERAGE(I6,P6,W6,AD6,AK6,AS6,AZ6,BG6,BN6,BU6)</f>
        <v>0</v>
      </c>
      <c r="C6" s="11">
        <f t="shared" ref="C6:C8" si="2">AVERAGE(J6,Q6,X6,AE6,AL6,AT6,BA6,BH6,BO6,BV6)</f>
        <v>0.99400000000000011</v>
      </c>
      <c r="D6" s="12">
        <f t="shared" ref="D6:D8" si="3">AVERAGE(K6,R6,Y6,AF6,AM6,AU6,BB6,BI6,BP6,BW6)</f>
        <v>6.0000000000000001E-3</v>
      </c>
      <c r="E6" s="12">
        <f t="shared" ref="E6:E7" si="4">AVERAGE(L6,S6,Z6,AG6,AN6,AV6,BC6,BJ6,BQ6,BX6)</f>
        <v>0</v>
      </c>
      <c r="F6" s="12"/>
      <c r="G6" s="12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0.99</v>
      </c>
      <c r="R6">
        <v>0.01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0.99</v>
      </c>
      <c r="AF6">
        <v>0.01</v>
      </c>
      <c r="AG6">
        <v>0</v>
      </c>
      <c r="AH6">
        <v>0</v>
      </c>
      <c r="AI6">
        <v>0</v>
      </c>
      <c r="AK6">
        <v>0</v>
      </c>
      <c r="AL6">
        <v>0.99</v>
      </c>
      <c r="AM6">
        <v>0.01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1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0.99</v>
      </c>
      <c r="BB6">
        <v>0.01</v>
      </c>
      <c r="BC6">
        <v>0</v>
      </c>
      <c r="BD6">
        <v>0</v>
      </c>
      <c r="BE6">
        <v>0</v>
      </c>
      <c r="BF6">
        <v>0</v>
      </c>
      <c r="BG6">
        <v>0</v>
      </c>
      <c r="BH6">
        <v>0.99</v>
      </c>
      <c r="BI6">
        <v>0.01</v>
      </c>
      <c r="BJ6">
        <v>0</v>
      </c>
      <c r="BK6">
        <v>0</v>
      </c>
      <c r="BL6">
        <v>0</v>
      </c>
      <c r="BM6">
        <v>0</v>
      </c>
      <c r="BN6">
        <v>0</v>
      </c>
      <c r="BO6">
        <v>0.99</v>
      </c>
      <c r="BP6">
        <v>0.01</v>
      </c>
      <c r="BQ6">
        <v>0</v>
      </c>
      <c r="BR6">
        <v>0</v>
      </c>
      <c r="BS6">
        <v>0</v>
      </c>
      <c r="BT6">
        <v>0</v>
      </c>
      <c r="BU6">
        <v>0</v>
      </c>
      <c r="BV6">
        <v>1</v>
      </c>
      <c r="BW6">
        <v>0</v>
      </c>
      <c r="BX6">
        <v>0</v>
      </c>
      <c r="BY6">
        <v>0</v>
      </c>
      <c r="BZ6">
        <v>0</v>
      </c>
    </row>
    <row r="7" spans="1:78" x14ac:dyDescent="0.25">
      <c r="A7" t="s">
        <v>3</v>
      </c>
      <c r="B7" s="12">
        <f t="shared" si="1"/>
        <v>7.2000000000000008E-2</v>
      </c>
      <c r="C7" s="12">
        <f t="shared" si="2"/>
        <v>0.11100000000000002</v>
      </c>
      <c r="D7" s="11">
        <f t="shared" si="3"/>
        <v>0.74099999999999999</v>
      </c>
      <c r="E7" s="12">
        <f t="shared" si="4"/>
        <v>7.6999999999999999E-2</v>
      </c>
      <c r="F7" s="12"/>
      <c r="G7" s="12"/>
      <c r="I7">
        <v>7.0000000000000007E-2</v>
      </c>
      <c r="J7">
        <v>0.13</v>
      </c>
      <c r="K7">
        <v>0.72</v>
      </c>
      <c r="L7">
        <v>0.08</v>
      </c>
      <c r="M7">
        <v>0</v>
      </c>
      <c r="N7">
        <v>0</v>
      </c>
      <c r="P7">
        <v>7.0000000000000007E-2</v>
      </c>
      <c r="Q7">
        <v>0.1</v>
      </c>
      <c r="R7">
        <v>0.73</v>
      </c>
      <c r="S7">
        <v>0.1</v>
      </c>
      <c r="T7">
        <v>0</v>
      </c>
      <c r="U7">
        <v>0</v>
      </c>
      <c r="W7">
        <v>0.08</v>
      </c>
      <c r="X7">
        <v>0.1</v>
      </c>
      <c r="Y7">
        <v>0.74</v>
      </c>
      <c r="Z7">
        <v>0.08</v>
      </c>
      <c r="AA7">
        <v>0</v>
      </c>
      <c r="AB7">
        <v>0</v>
      </c>
      <c r="AD7">
        <v>7.0000000000000007E-2</v>
      </c>
      <c r="AE7">
        <v>0.11</v>
      </c>
      <c r="AF7">
        <v>0.75</v>
      </c>
      <c r="AG7">
        <v>0.08</v>
      </c>
      <c r="AH7">
        <v>0</v>
      </c>
      <c r="AI7">
        <v>0</v>
      </c>
      <c r="AK7">
        <v>7.0000000000000007E-2</v>
      </c>
      <c r="AL7">
        <v>0.1</v>
      </c>
      <c r="AM7">
        <v>0.74</v>
      </c>
      <c r="AN7">
        <v>0.09</v>
      </c>
      <c r="AO7">
        <v>0</v>
      </c>
      <c r="AP7">
        <v>0</v>
      </c>
      <c r="AQ7">
        <v>0</v>
      </c>
      <c r="AR7">
        <v>0</v>
      </c>
      <c r="AS7">
        <v>7.0000000000000007E-2</v>
      </c>
      <c r="AT7">
        <v>0.1</v>
      </c>
      <c r="AU7">
        <v>0.75</v>
      </c>
      <c r="AV7">
        <v>0.08</v>
      </c>
      <c r="AW7">
        <v>0</v>
      </c>
      <c r="AX7">
        <v>0</v>
      </c>
      <c r="AY7">
        <v>0</v>
      </c>
      <c r="AZ7">
        <v>0.09</v>
      </c>
      <c r="BA7">
        <v>0.12</v>
      </c>
      <c r="BB7">
        <v>0.73</v>
      </c>
      <c r="BC7">
        <v>0.06</v>
      </c>
      <c r="BD7">
        <v>0</v>
      </c>
      <c r="BE7">
        <v>0</v>
      </c>
      <c r="BF7">
        <v>0</v>
      </c>
      <c r="BG7">
        <v>7.0000000000000007E-2</v>
      </c>
      <c r="BH7">
        <v>0.11</v>
      </c>
      <c r="BI7">
        <v>0.76</v>
      </c>
      <c r="BJ7">
        <v>0.06</v>
      </c>
      <c r="BK7">
        <v>0</v>
      </c>
      <c r="BL7">
        <v>0</v>
      </c>
      <c r="BM7">
        <v>0</v>
      </c>
      <c r="BN7">
        <v>0.05</v>
      </c>
      <c r="BO7">
        <v>0.13</v>
      </c>
      <c r="BP7">
        <v>0.74</v>
      </c>
      <c r="BQ7">
        <v>0.08</v>
      </c>
      <c r="BR7">
        <v>0</v>
      </c>
      <c r="BS7">
        <v>0</v>
      </c>
      <c r="BT7">
        <v>0</v>
      </c>
      <c r="BU7">
        <v>0.08</v>
      </c>
      <c r="BV7">
        <v>0.11</v>
      </c>
      <c r="BW7">
        <v>0.75</v>
      </c>
      <c r="BX7">
        <v>0.06</v>
      </c>
      <c r="BY7">
        <v>0</v>
      </c>
      <c r="BZ7">
        <v>0</v>
      </c>
    </row>
    <row r="8" spans="1:78" x14ac:dyDescent="0.25">
      <c r="A8" t="s">
        <v>5</v>
      </c>
      <c r="B8" s="12">
        <f t="shared" si="1"/>
        <v>1.7000000000000001E-2</v>
      </c>
      <c r="C8" s="12">
        <f t="shared" si="2"/>
        <v>8.9999999999999993E-3</v>
      </c>
      <c r="D8" s="12">
        <f t="shared" si="3"/>
        <v>9.9999999999999985E-3</v>
      </c>
      <c r="E8" s="11">
        <f>AVERAGE(L8,S8,Z8,AG8,AN8,AV8,BC8,BJ8,BQ8,BX8)</f>
        <v>0.96400000000000008</v>
      </c>
      <c r="F8" s="12"/>
      <c r="G8" s="12"/>
      <c r="I8">
        <v>0.01</v>
      </c>
      <c r="J8">
        <v>0.01</v>
      </c>
      <c r="K8">
        <v>0.02</v>
      </c>
      <c r="L8">
        <v>0.96</v>
      </c>
      <c r="M8">
        <v>0</v>
      </c>
      <c r="N8">
        <v>0</v>
      </c>
      <c r="P8">
        <v>0.03</v>
      </c>
      <c r="Q8">
        <v>0</v>
      </c>
      <c r="R8">
        <v>0.01</v>
      </c>
      <c r="S8">
        <v>0.96</v>
      </c>
      <c r="T8">
        <v>0</v>
      </c>
      <c r="U8">
        <v>0</v>
      </c>
      <c r="W8">
        <v>0.01</v>
      </c>
      <c r="X8">
        <v>0.01</v>
      </c>
      <c r="Y8">
        <v>0.01</v>
      </c>
      <c r="Z8">
        <v>0.97</v>
      </c>
      <c r="AA8">
        <v>0</v>
      </c>
      <c r="AB8">
        <v>0</v>
      </c>
      <c r="AD8">
        <v>0.01</v>
      </c>
      <c r="AE8">
        <v>0.01</v>
      </c>
      <c r="AF8">
        <v>0.01</v>
      </c>
      <c r="AG8">
        <v>0.97</v>
      </c>
      <c r="AH8">
        <v>0</v>
      </c>
      <c r="AI8">
        <v>0</v>
      </c>
      <c r="AK8">
        <v>0.01</v>
      </c>
      <c r="AL8">
        <v>0.01</v>
      </c>
      <c r="AM8">
        <v>0.02</v>
      </c>
      <c r="AN8">
        <v>0.96</v>
      </c>
      <c r="AO8">
        <v>0</v>
      </c>
      <c r="AP8">
        <v>0</v>
      </c>
      <c r="AQ8">
        <v>0</v>
      </c>
      <c r="AR8">
        <v>0</v>
      </c>
      <c r="AS8">
        <v>0.03</v>
      </c>
      <c r="AT8">
        <v>0</v>
      </c>
      <c r="AU8">
        <v>0.01</v>
      </c>
      <c r="AV8">
        <v>0.96</v>
      </c>
      <c r="AW8">
        <v>0</v>
      </c>
      <c r="AX8">
        <v>0</v>
      </c>
      <c r="AY8">
        <v>0</v>
      </c>
      <c r="AZ8">
        <v>0.02</v>
      </c>
      <c r="BA8">
        <v>0.03</v>
      </c>
      <c r="BB8">
        <v>0</v>
      </c>
      <c r="BC8">
        <v>0.95</v>
      </c>
      <c r="BD8">
        <v>0</v>
      </c>
      <c r="BE8">
        <v>0</v>
      </c>
      <c r="BF8">
        <v>0</v>
      </c>
      <c r="BG8">
        <v>0.02</v>
      </c>
      <c r="BH8">
        <v>0.01</v>
      </c>
      <c r="BI8">
        <v>0.01</v>
      </c>
      <c r="BJ8">
        <v>0.96</v>
      </c>
      <c r="BK8">
        <v>0</v>
      </c>
      <c r="BL8">
        <v>0</v>
      </c>
      <c r="BM8">
        <v>0</v>
      </c>
      <c r="BN8">
        <v>0.01</v>
      </c>
      <c r="BO8">
        <v>0.01</v>
      </c>
      <c r="BP8">
        <v>0</v>
      </c>
      <c r="BQ8">
        <v>0.98</v>
      </c>
      <c r="BR8">
        <v>0</v>
      </c>
      <c r="BS8">
        <v>0</v>
      </c>
      <c r="BT8">
        <v>0</v>
      </c>
      <c r="BU8">
        <v>0.02</v>
      </c>
      <c r="BV8">
        <v>0</v>
      </c>
      <c r="BW8">
        <v>0.01</v>
      </c>
      <c r="BX8">
        <v>0.97</v>
      </c>
      <c r="BY8">
        <v>0</v>
      </c>
      <c r="BZ8">
        <v>0</v>
      </c>
    </row>
    <row r="9" spans="1:78" x14ac:dyDescent="0.25">
      <c r="B9" s="12"/>
      <c r="C9" s="12"/>
      <c r="D9" s="12"/>
      <c r="E9" s="12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2"/>
      <c r="C10" s="12"/>
      <c r="D10" s="12"/>
      <c r="E10" s="12"/>
      <c r="G10" s="12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2"/>
      <c r="C11" s="12"/>
      <c r="D11" s="12"/>
      <c r="E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1">
        <f t="shared" si="1"/>
        <v>0.91600000000000004</v>
      </c>
      <c r="C12" s="12"/>
      <c r="D12" s="12"/>
      <c r="E12" s="12"/>
      <c r="G12" s="12"/>
      <c r="I12">
        <v>0.91</v>
      </c>
      <c r="J12">
        <v>634</v>
      </c>
      <c r="P12">
        <v>0.9</v>
      </c>
      <c r="Q12">
        <v>631</v>
      </c>
      <c r="W12">
        <v>0.92</v>
      </c>
      <c r="X12">
        <v>631</v>
      </c>
      <c r="AD12">
        <v>0.92</v>
      </c>
      <c r="AE12">
        <v>631</v>
      </c>
      <c r="AK12">
        <v>0.92</v>
      </c>
      <c r="AL12">
        <v>631</v>
      </c>
      <c r="AQ12">
        <v>0</v>
      </c>
      <c r="AR12">
        <v>0</v>
      </c>
      <c r="AS12">
        <v>0.92</v>
      </c>
      <c r="AT12">
        <v>631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0.91</v>
      </c>
      <c r="BA12">
        <v>631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0.92</v>
      </c>
      <c r="BH12">
        <v>632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0.92</v>
      </c>
      <c r="BO12">
        <v>633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0.92</v>
      </c>
      <c r="BV12">
        <v>633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B13" s="12"/>
      <c r="C13" s="12"/>
      <c r="D13" s="12"/>
      <c r="E13" s="12"/>
      <c r="F13" s="11"/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B14" s="12"/>
      <c r="C14" s="12"/>
      <c r="D14" s="12"/>
      <c r="E14" s="12"/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B15" s="13" t="s">
        <v>0</v>
      </c>
      <c r="C15" s="13" t="s">
        <v>2</v>
      </c>
      <c r="D15" s="13" t="s">
        <v>3</v>
      </c>
      <c r="E15" s="13" t="s">
        <v>5</v>
      </c>
      <c r="F15" s="13"/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">
        <v>0</v>
      </c>
      <c r="B16" s="11">
        <f>AVERAGE(I16,P16,W16,AD16,AK16,AS16,AZ16,BG16,BN16,BU16)</f>
        <v>0.59800000000000009</v>
      </c>
      <c r="C16" s="12">
        <f t="shared" ref="C16:E16" si="5">AVERAGE(J16,Q16,X16,AE16,AL16,AT16,BA16,BH16,BO16,BV16)</f>
        <v>1.0999999999999999E-2</v>
      </c>
      <c r="D16" s="12">
        <f t="shared" si="5"/>
        <v>0.11000000000000001</v>
      </c>
      <c r="E16" s="12">
        <f t="shared" si="5"/>
        <v>0.27900000000000003</v>
      </c>
      <c r="F16" s="11"/>
      <c r="I16">
        <v>0.75</v>
      </c>
      <c r="J16">
        <v>0</v>
      </c>
      <c r="K16">
        <v>0</v>
      </c>
      <c r="L16">
        <v>0.25</v>
      </c>
      <c r="M16">
        <v>0</v>
      </c>
      <c r="N16">
        <v>0</v>
      </c>
      <c r="P16">
        <v>0.44</v>
      </c>
      <c r="Q16">
        <v>0</v>
      </c>
      <c r="R16">
        <v>0.11</v>
      </c>
      <c r="S16">
        <v>0.44</v>
      </c>
      <c r="T16">
        <v>0</v>
      </c>
      <c r="U16">
        <v>0</v>
      </c>
      <c r="W16">
        <v>0.78</v>
      </c>
      <c r="X16">
        <v>0</v>
      </c>
      <c r="Y16">
        <v>0.11</v>
      </c>
      <c r="Z16">
        <v>0.11</v>
      </c>
      <c r="AA16">
        <v>0</v>
      </c>
      <c r="AB16">
        <v>0</v>
      </c>
      <c r="AD16">
        <v>0.78</v>
      </c>
      <c r="AE16">
        <v>0</v>
      </c>
      <c r="AF16">
        <v>0</v>
      </c>
      <c r="AG16">
        <v>0.22</v>
      </c>
      <c r="AH16">
        <v>0</v>
      </c>
      <c r="AI16">
        <v>0</v>
      </c>
      <c r="AK16">
        <v>0.44</v>
      </c>
      <c r="AL16">
        <v>0</v>
      </c>
      <c r="AM16">
        <v>0</v>
      </c>
      <c r="AN16">
        <v>0.56000000000000005</v>
      </c>
      <c r="AO16">
        <v>0</v>
      </c>
      <c r="AP16">
        <v>0</v>
      </c>
      <c r="AQ16">
        <v>0</v>
      </c>
      <c r="AR16">
        <v>0</v>
      </c>
      <c r="AS16">
        <v>0.56000000000000005</v>
      </c>
      <c r="AT16">
        <v>0</v>
      </c>
      <c r="AU16">
        <v>0.22</v>
      </c>
      <c r="AV16">
        <v>0.22</v>
      </c>
      <c r="AW16">
        <v>0</v>
      </c>
      <c r="AX16">
        <v>0</v>
      </c>
      <c r="AY16">
        <v>0</v>
      </c>
      <c r="AZ16">
        <v>0.56000000000000005</v>
      </c>
      <c r="BA16">
        <v>0</v>
      </c>
      <c r="BB16">
        <v>0.22</v>
      </c>
      <c r="BC16">
        <v>0.22</v>
      </c>
      <c r="BD16">
        <v>0</v>
      </c>
      <c r="BE16">
        <v>0</v>
      </c>
      <c r="BF16">
        <v>0</v>
      </c>
      <c r="BG16">
        <v>0.56000000000000005</v>
      </c>
      <c r="BH16">
        <v>0</v>
      </c>
      <c r="BI16">
        <v>0.22</v>
      </c>
      <c r="BJ16">
        <v>0.22</v>
      </c>
      <c r="BK16">
        <v>0</v>
      </c>
      <c r="BL16">
        <v>0</v>
      </c>
      <c r="BM16">
        <v>0</v>
      </c>
      <c r="BN16">
        <v>0.44</v>
      </c>
      <c r="BO16">
        <v>0.11</v>
      </c>
      <c r="BP16">
        <v>0.11</v>
      </c>
      <c r="BQ16">
        <v>0.33</v>
      </c>
      <c r="BR16">
        <v>0</v>
      </c>
      <c r="BS16">
        <v>0</v>
      </c>
      <c r="BT16">
        <v>0</v>
      </c>
      <c r="BU16">
        <v>0.67</v>
      </c>
      <c r="BV16">
        <v>0</v>
      </c>
      <c r="BW16">
        <v>0.11</v>
      </c>
      <c r="BX16">
        <v>0.22</v>
      </c>
      <c r="BY16">
        <v>0</v>
      </c>
      <c r="BZ16">
        <v>0</v>
      </c>
    </row>
    <row r="17" spans="1:78" x14ac:dyDescent="0.25">
      <c r="A17" t="s">
        <v>2</v>
      </c>
      <c r="B17" s="12">
        <f t="shared" ref="B17:B19" si="6">AVERAGE(I17,P17,W17,AD17,AK17,AS17,AZ17,BG17,BN17,BU17)</f>
        <v>2.6000000000000002E-2</v>
      </c>
      <c r="C17" s="11">
        <f t="shared" ref="C17:C19" si="7">AVERAGE(J17,Q17,X17,AE17,AL17,AT17,BA17,BH17,BO17,BV17)</f>
        <v>0.7410000000000001</v>
      </c>
      <c r="D17" s="12">
        <f t="shared" ref="D17:D19" si="8">AVERAGE(K17,R17,Y17,AF17,AM17,AU17,BB17,BI17,BP17,BW17)</f>
        <v>0.185</v>
      </c>
      <c r="E17" s="12">
        <f t="shared" ref="E17:E19" si="9">AVERAGE(L17,S17,Z17,AG17,AN17,AV17,BC17,BJ17,BQ17,BX17)</f>
        <v>5.2000000000000005E-2</v>
      </c>
      <c r="F17" s="12"/>
      <c r="I17">
        <v>0</v>
      </c>
      <c r="J17">
        <v>0.86</v>
      </c>
      <c r="K17">
        <v>0.14000000000000001</v>
      </c>
      <c r="L17">
        <v>0</v>
      </c>
      <c r="M17">
        <v>0</v>
      </c>
      <c r="N17">
        <v>0</v>
      </c>
      <c r="P17">
        <v>0</v>
      </c>
      <c r="Q17">
        <v>0.5</v>
      </c>
      <c r="R17">
        <v>0.25</v>
      </c>
      <c r="S17">
        <v>0.25</v>
      </c>
      <c r="T17">
        <v>0</v>
      </c>
      <c r="U17">
        <v>0</v>
      </c>
      <c r="W17">
        <v>0</v>
      </c>
      <c r="X17">
        <v>0.88</v>
      </c>
      <c r="Y17">
        <v>0.13</v>
      </c>
      <c r="Z17">
        <v>0</v>
      </c>
      <c r="AA17">
        <v>0</v>
      </c>
      <c r="AB17">
        <v>0</v>
      </c>
      <c r="AD17">
        <v>0</v>
      </c>
      <c r="AE17">
        <v>0.75</v>
      </c>
      <c r="AF17">
        <v>0.25</v>
      </c>
      <c r="AG17">
        <v>0</v>
      </c>
      <c r="AH17">
        <v>0</v>
      </c>
      <c r="AI17">
        <v>0</v>
      </c>
      <c r="AK17">
        <v>0.13</v>
      </c>
      <c r="AL17">
        <v>0.75</v>
      </c>
      <c r="AM17">
        <v>0.13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0.13</v>
      </c>
      <c r="AT17">
        <v>0.63</v>
      </c>
      <c r="AU17">
        <v>0.25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0.75</v>
      </c>
      <c r="BB17">
        <v>0.13</v>
      </c>
      <c r="BC17">
        <v>0.13</v>
      </c>
      <c r="BD17">
        <v>0</v>
      </c>
      <c r="BE17">
        <v>0</v>
      </c>
      <c r="BF17">
        <v>0</v>
      </c>
      <c r="BG17">
        <v>0</v>
      </c>
      <c r="BH17">
        <v>0.86</v>
      </c>
      <c r="BI17">
        <v>0.14000000000000001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0.86</v>
      </c>
      <c r="BP17">
        <v>0.14000000000000001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0.56999999999999995</v>
      </c>
      <c r="BW17">
        <v>0.28999999999999998</v>
      </c>
      <c r="BX17">
        <v>0.14000000000000001</v>
      </c>
      <c r="BY17">
        <v>0</v>
      </c>
      <c r="BZ17">
        <v>0</v>
      </c>
    </row>
    <row r="18" spans="1:78" x14ac:dyDescent="0.25">
      <c r="A18" t="s">
        <v>3</v>
      </c>
      <c r="B18" s="12">
        <f t="shared" si="6"/>
        <v>0.11699999999999999</v>
      </c>
      <c r="C18" s="12">
        <f t="shared" si="7"/>
        <v>0.16099999999999998</v>
      </c>
      <c r="D18" s="11">
        <f t="shared" si="8"/>
        <v>0.59400000000000008</v>
      </c>
      <c r="E18" s="12">
        <f t="shared" si="9"/>
        <v>0.129</v>
      </c>
      <c r="F18" s="12"/>
      <c r="I18">
        <v>0.12</v>
      </c>
      <c r="J18">
        <v>0.19</v>
      </c>
      <c r="K18">
        <v>0.6</v>
      </c>
      <c r="L18">
        <v>0.1</v>
      </c>
      <c r="M18">
        <v>0</v>
      </c>
      <c r="N18">
        <v>0</v>
      </c>
      <c r="P18">
        <v>0.05</v>
      </c>
      <c r="Q18">
        <v>0.23</v>
      </c>
      <c r="R18">
        <v>0.56000000000000005</v>
      </c>
      <c r="S18">
        <v>0.16</v>
      </c>
      <c r="T18">
        <v>0</v>
      </c>
      <c r="U18">
        <v>0</v>
      </c>
      <c r="W18">
        <v>0.19</v>
      </c>
      <c r="X18">
        <v>0.09</v>
      </c>
      <c r="Y18">
        <v>0.63</v>
      </c>
      <c r="Z18">
        <v>0.09</v>
      </c>
      <c r="AA18">
        <v>0</v>
      </c>
      <c r="AB18">
        <v>0</v>
      </c>
      <c r="AD18">
        <v>0.12</v>
      </c>
      <c r="AE18">
        <v>0.16</v>
      </c>
      <c r="AF18">
        <v>0.6</v>
      </c>
      <c r="AG18">
        <v>0.12</v>
      </c>
      <c r="AH18">
        <v>0</v>
      </c>
      <c r="AI18">
        <v>0</v>
      </c>
      <c r="AK18">
        <v>0.12</v>
      </c>
      <c r="AL18">
        <v>0.19</v>
      </c>
      <c r="AM18">
        <v>0.56000000000000005</v>
      </c>
      <c r="AN18">
        <v>0.14000000000000001</v>
      </c>
      <c r="AO18">
        <v>0</v>
      </c>
      <c r="AP18">
        <v>0</v>
      </c>
      <c r="AQ18">
        <v>0</v>
      </c>
      <c r="AR18">
        <v>0</v>
      </c>
      <c r="AS18">
        <v>7.0000000000000007E-2</v>
      </c>
      <c r="AT18">
        <v>0.09</v>
      </c>
      <c r="AU18">
        <v>0.74</v>
      </c>
      <c r="AV18">
        <v>0.09</v>
      </c>
      <c r="AW18">
        <v>0</v>
      </c>
      <c r="AX18">
        <v>0</v>
      </c>
      <c r="AY18">
        <v>0</v>
      </c>
      <c r="AZ18">
        <v>0.19</v>
      </c>
      <c r="BA18">
        <v>0.12</v>
      </c>
      <c r="BB18">
        <v>0.53</v>
      </c>
      <c r="BC18">
        <v>0.16</v>
      </c>
      <c r="BD18">
        <v>0</v>
      </c>
      <c r="BE18">
        <v>0</v>
      </c>
      <c r="BF18">
        <v>0</v>
      </c>
      <c r="BG18">
        <v>0.16</v>
      </c>
      <c r="BH18">
        <v>0.16</v>
      </c>
      <c r="BI18">
        <v>0.53</v>
      </c>
      <c r="BJ18">
        <v>0.14000000000000001</v>
      </c>
      <c r="BK18">
        <v>0</v>
      </c>
      <c r="BL18">
        <v>0</v>
      </c>
      <c r="BM18">
        <v>0</v>
      </c>
      <c r="BN18">
        <v>0.1</v>
      </c>
      <c r="BO18">
        <v>0.17</v>
      </c>
      <c r="BP18">
        <v>0.56999999999999995</v>
      </c>
      <c r="BQ18">
        <v>0.17</v>
      </c>
      <c r="BR18">
        <v>0</v>
      </c>
      <c r="BS18">
        <v>0</v>
      </c>
      <c r="BT18">
        <v>0</v>
      </c>
      <c r="BU18">
        <v>0.05</v>
      </c>
      <c r="BV18">
        <v>0.21</v>
      </c>
      <c r="BW18">
        <v>0.62</v>
      </c>
      <c r="BX18">
        <v>0.12</v>
      </c>
      <c r="BY18">
        <v>0</v>
      </c>
      <c r="BZ18">
        <v>0</v>
      </c>
    </row>
    <row r="19" spans="1:78" x14ac:dyDescent="0.25">
      <c r="A19" t="s">
        <v>5</v>
      </c>
      <c r="B19" s="12">
        <f t="shared" si="6"/>
        <v>0.29699999999999999</v>
      </c>
      <c r="C19" s="12">
        <f t="shared" si="7"/>
        <v>8.9999999999999983E-2</v>
      </c>
      <c r="D19" s="12">
        <f t="shared" si="8"/>
        <v>0.16200000000000001</v>
      </c>
      <c r="E19" s="11">
        <f t="shared" si="9"/>
        <v>0.44500000000000012</v>
      </c>
      <c r="F19" s="12"/>
      <c r="I19">
        <v>0.18</v>
      </c>
      <c r="J19">
        <v>0.18</v>
      </c>
      <c r="K19">
        <v>0.27</v>
      </c>
      <c r="L19">
        <v>0.36</v>
      </c>
      <c r="M19">
        <v>0</v>
      </c>
      <c r="N19">
        <v>0</v>
      </c>
      <c r="P19">
        <v>0.27</v>
      </c>
      <c r="Q19">
        <v>0.09</v>
      </c>
      <c r="R19">
        <v>0.18</v>
      </c>
      <c r="S19">
        <v>0.45</v>
      </c>
      <c r="T19">
        <v>0</v>
      </c>
      <c r="U19">
        <v>0</v>
      </c>
      <c r="W19">
        <v>0.36</v>
      </c>
      <c r="X19">
        <v>0.09</v>
      </c>
      <c r="Y19">
        <v>0.45</v>
      </c>
      <c r="Z19">
        <v>0.09</v>
      </c>
      <c r="AA19">
        <v>0</v>
      </c>
      <c r="AB19">
        <v>0</v>
      </c>
      <c r="AD19">
        <v>0.36</v>
      </c>
      <c r="AE19">
        <v>0.09</v>
      </c>
      <c r="AF19">
        <v>0.18</v>
      </c>
      <c r="AG19">
        <v>0.36</v>
      </c>
      <c r="AH19">
        <v>0</v>
      </c>
      <c r="AI19">
        <v>0</v>
      </c>
      <c r="AK19">
        <v>0.45</v>
      </c>
      <c r="AL19">
        <v>0</v>
      </c>
      <c r="AM19">
        <v>0</v>
      </c>
      <c r="AN19">
        <v>0.55000000000000004</v>
      </c>
      <c r="AO19">
        <v>0</v>
      </c>
      <c r="AP19">
        <v>0</v>
      </c>
      <c r="AQ19">
        <v>0</v>
      </c>
      <c r="AR19">
        <v>0</v>
      </c>
      <c r="AS19">
        <v>0.36</v>
      </c>
      <c r="AT19">
        <v>0.09</v>
      </c>
      <c r="AU19">
        <v>0</v>
      </c>
      <c r="AV19">
        <v>0.55000000000000004</v>
      </c>
      <c r="AW19">
        <v>0</v>
      </c>
      <c r="AX19">
        <v>0</v>
      </c>
      <c r="AY19">
        <v>0</v>
      </c>
      <c r="AZ19">
        <v>0.27</v>
      </c>
      <c r="BA19">
        <v>0.09</v>
      </c>
      <c r="BB19">
        <v>0</v>
      </c>
      <c r="BC19">
        <v>0.64</v>
      </c>
      <c r="BD19">
        <v>0</v>
      </c>
      <c r="BE19">
        <v>0</v>
      </c>
      <c r="BF19">
        <v>0</v>
      </c>
      <c r="BG19">
        <v>0.09</v>
      </c>
      <c r="BH19">
        <v>0.09</v>
      </c>
      <c r="BI19">
        <v>0.27</v>
      </c>
      <c r="BJ19">
        <v>0.55000000000000004</v>
      </c>
      <c r="BK19">
        <v>0</v>
      </c>
      <c r="BL19">
        <v>0</v>
      </c>
      <c r="BM19">
        <v>0</v>
      </c>
      <c r="BN19">
        <v>0.27</v>
      </c>
      <c r="BO19">
        <v>0.09</v>
      </c>
      <c r="BP19">
        <v>0.18</v>
      </c>
      <c r="BQ19">
        <v>0.45</v>
      </c>
      <c r="BR19">
        <v>0</v>
      </c>
      <c r="BS19">
        <v>0</v>
      </c>
      <c r="BT19">
        <v>0</v>
      </c>
      <c r="BU19">
        <v>0.36</v>
      </c>
      <c r="BV19">
        <v>0.09</v>
      </c>
      <c r="BW19">
        <v>0.09</v>
      </c>
      <c r="BX19">
        <v>0.45</v>
      </c>
      <c r="BY19">
        <v>0</v>
      </c>
      <c r="BZ19">
        <v>0</v>
      </c>
    </row>
    <row r="20" spans="1:78" x14ac:dyDescent="0.25">
      <c r="B20" s="12"/>
      <c r="C20" s="12"/>
      <c r="D20" s="12"/>
      <c r="E20" s="12"/>
      <c r="G20" s="12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B21" s="12"/>
      <c r="C21" s="12"/>
      <c r="D21" s="12"/>
      <c r="E21" s="12"/>
      <c r="F21" s="12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</row>
    <row r="22" spans="1:78" x14ac:dyDescent="0.25">
      <c r="B22" s="12"/>
      <c r="C22" s="12"/>
      <c r="D22" s="12"/>
      <c r="E22" s="12"/>
      <c r="F22" s="12"/>
      <c r="G22" s="12"/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>
        <f>AVERAGE(I23,P23,W23,AD23,AK23,AS23,AZ23,BG23,BN23,BU23)</f>
        <v>0.59299999999999997</v>
      </c>
      <c r="C23" s="12"/>
      <c r="D23" s="12"/>
      <c r="E23" s="12"/>
      <c r="F23" s="12"/>
      <c r="G23" s="12"/>
      <c r="I23">
        <v>0.64</v>
      </c>
      <c r="J23">
        <v>68</v>
      </c>
      <c r="P23">
        <v>0.49</v>
      </c>
      <c r="Q23">
        <v>71</v>
      </c>
      <c r="W23">
        <v>0.59</v>
      </c>
      <c r="X23">
        <v>71</v>
      </c>
      <c r="AD23">
        <v>0.62</v>
      </c>
      <c r="AE23">
        <v>71</v>
      </c>
      <c r="AK23">
        <v>0.56999999999999995</v>
      </c>
      <c r="AL23">
        <v>71</v>
      </c>
      <c r="AQ23">
        <v>0</v>
      </c>
      <c r="AR23">
        <v>0</v>
      </c>
      <c r="AS23">
        <v>0.62</v>
      </c>
      <c r="AT23">
        <v>71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0.62</v>
      </c>
      <c r="BA23">
        <v>71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0.62</v>
      </c>
      <c r="BH23">
        <v>70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0.57999999999999996</v>
      </c>
      <c r="BO23">
        <v>69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0.57999999999999996</v>
      </c>
      <c r="BV23">
        <v>69</v>
      </c>
      <c r="BW23">
        <v>0</v>
      </c>
      <c r="BX23">
        <v>0</v>
      </c>
      <c r="BY23">
        <v>0</v>
      </c>
      <c r="BZ23">
        <v>0</v>
      </c>
    </row>
    <row r="25" spans="1:78" x14ac:dyDescent="0.25">
      <c r="B25" s="1"/>
      <c r="C25" s="1"/>
      <c r="D25" s="1"/>
      <c r="E25" s="1"/>
      <c r="F25" s="1"/>
    </row>
    <row r="26" spans="1:78" x14ac:dyDescent="0.25">
      <c r="A26" s="1"/>
      <c r="D26" s="1"/>
      <c r="E26" s="1"/>
      <c r="F26" s="1"/>
    </row>
    <row r="27" spans="1:78" x14ac:dyDescent="0.25">
      <c r="A27" s="1"/>
      <c r="D27" s="1"/>
      <c r="E27" s="1"/>
      <c r="F27" s="1"/>
    </row>
    <row r="28" spans="1:78" x14ac:dyDescent="0.25">
      <c r="A28" s="1"/>
      <c r="D28" s="1"/>
      <c r="E28" s="1"/>
      <c r="F28" s="1"/>
    </row>
    <row r="29" spans="1:78" x14ac:dyDescent="0.25">
      <c r="A29" s="1"/>
      <c r="D29" s="1"/>
      <c r="E29" s="1"/>
      <c r="F29" s="1"/>
    </row>
    <row r="30" spans="1:78" x14ac:dyDescent="0.25">
      <c r="A30" s="1"/>
      <c r="D30" s="1"/>
      <c r="E30" s="1"/>
      <c r="F30" s="1"/>
    </row>
    <row r="31" spans="1:78" x14ac:dyDescent="0.25">
      <c r="D31" s="1"/>
      <c r="E31" s="1"/>
      <c r="F31" s="1"/>
    </row>
    <row r="32" spans="1:78" x14ac:dyDescent="0.25">
      <c r="B32" s="1"/>
      <c r="C32" s="1"/>
      <c r="D32" s="1"/>
      <c r="E32" s="1"/>
      <c r="F32" s="1"/>
    </row>
    <row r="33" spans="2:6" x14ac:dyDescent="0.25">
      <c r="B33" s="1"/>
      <c r="C33" s="1"/>
      <c r="D33" s="1"/>
      <c r="E33" s="1"/>
      <c r="F33" s="1"/>
    </row>
    <row r="34" spans="2:6" x14ac:dyDescent="0.25">
      <c r="B34" s="1"/>
      <c r="C34" s="1"/>
      <c r="D34" s="1"/>
      <c r="E34" s="1"/>
      <c r="F34" s="1"/>
    </row>
    <row r="35" spans="2:6" x14ac:dyDescent="0.25">
      <c r="B35" s="1"/>
      <c r="C35" s="1"/>
      <c r="D35" s="1"/>
      <c r="E35" s="1"/>
      <c r="F35" s="1"/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2F226-D02D-43DC-9D2A-B12B90E8EA61}">
  <dimension ref="A4:AP23"/>
  <sheetViews>
    <sheetView tabSelected="1" workbookViewId="0">
      <selection activeCell="F13" sqref="F1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30</v>
      </c>
      <c r="E4" t="s">
        <v>29</v>
      </c>
    </row>
    <row r="5" spans="1:42" x14ac:dyDescent="0.25">
      <c r="A5" t="s">
        <v>0</v>
      </c>
      <c r="B5" s="11">
        <f>AVERAGE(I5,P5,W5,AD5,AK5)</f>
        <v>1</v>
      </c>
      <c r="C5" s="1">
        <f t="shared" ref="C5:G5" si="0">AVERAGE(J5,Q5,X5,AE5,AL5)</f>
        <v>0</v>
      </c>
      <c r="D5" s="1">
        <f t="shared" si="0"/>
        <v>0</v>
      </c>
      <c r="E5" s="1">
        <f t="shared" si="0"/>
        <v>0</v>
      </c>
      <c r="F5" s="1"/>
      <c r="G5" s="1"/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2" si="1">AVERAGE(I6,P6,W6,AD6,AK6)</f>
        <v>0</v>
      </c>
      <c r="C6" s="11">
        <f>AVERAGE(J6,Q6,X6,AE6,AL6)</f>
        <v>0.99600000000000011</v>
      </c>
      <c r="D6" s="1">
        <f t="shared" ref="D6:D10" si="2">AVERAGE(K6,R6,Y6,AF6,AM6)</f>
        <v>4.0000000000000001E-3</v>
      </c>
      <c r="E6" s="1">
        <f t="shared" ref="E6:E10" si="3">AVERAGE(L6,S6,Z6,AG6,AN6)</f>
        <v>0</v>
      </c>
      <c r="F6" s="1"/>
      <c r="G6" s="1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0.98</v>
      </c>
      <c r="Y6">
        <v>0.02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30</v>
      </c>
      <c r="B7" s="1">
        <f t="shared" si="1"/>
        <v>0.13400000000000001</v>
      </c>
      <c r="C7" s="1">
        <f t="shared" ref="C6:C10" si="4">AVERAGE(J7,Q7,X7,AE7,AL7)</f>
        <v>0.15000000000000002</v>
      </c>
      <c r="D7" s="11">
        <f>AVERAGE(K7,R7,Y7,AF7,AM7)</f>
        <v>0.52400000000000002</v>
      </c>
      <c r="E7" s="1">
        <f t="shared" si="3"/>
        <v>0.192</v>
      </c>
      <c r="F7" s="1"/>
      <c r="G7" s="1"/>
      <c r="I7">
        <v>0.15</v>
      </c>
      <c r="J7">
        <v>0.15</v>
      </c>
      <c r="K7">
        <v>0.5</v>
      </c>
      <c r="L7">
        <v>0.21</v>
      </c>
      <c r="M7">
        <v>0</v>
      </c>
      <c r="N7">
        <v>0</v>
      </c>
      <c r="P7">
        <v>0.13</v>
      </c>
      <c r="Q7">
        <v>0.14000000000000001</v>
      </c>
      <c r="R7">
        <v>0.55000000000000004</v>
      </c>
      <c r="S7">
        <v>0.18</v>
      </c>
      <c r="T7">
        <v>0</v>
      </c>
      <c r="U7">
        <v>0</v>
      </c>
      <c r="W7">
        <v>0.12</v>
      </c>
      <c r="X7">
        <v>0.15</v>
      </c>
      <c r="Y7">
        <v>0.54</v>
      </c>
      <c r="Z7">
        <v>0.18</v>
      </c>
      <c r="AA7">
        <v>0</v>
      </c>
      <c r="AB7">
        <v>0</v>
      </c>
      <c r="AD7">
        <v>0.14000000000000001</v>
      </c>
      <c r="AE7">
        <v>0.16</v>
      </c>
      <c r="AF7">
        <v>0.51</v>
      </c>
      <c r="AG7">
        <v>0.19</v>
      </c>
      <c r="AH7">
        <v>0</v>
      </c>
      <c r="AI7">
        <v>0</v>
      </c>
      <c r="AK7">
        <v>0.13</v>
      </c>
      <c r="AL7">
        <v>0.15</v>
      </c>
      <c r="AM7">
        <v>0.52</v>
      </c>
      <c r="AN7">
        <v>0.2</v>
      </c>
      <c r="AO7">
        <v>0</v>
      </c>
      <c r="AP7">
        <v>0</v>
      </c>
    </row>
    <row r="8" spans="1:42" x14ac:dyDescent="0.25">
      <c r="A8" t="s">
        <v>29</v>
      </c>
      <c r="B8" s="1">
        <f t="shared" si="1"/>
        <v>0.05</v>
      </c>
      <c r="C8" s="1">
        <f t="shared" si="4"/>
        <v>4.8000000000000001E-2</v>
      </c>
      <c r="D8" s="1">
        <f t="shared" si="2"/>
        <v>6.6000000000000003E-2</v>
      </c>
      <c r="E8" s="11">
        <f>AVERAGE(L8,S8,Z8,AG8,AN8)</f>
        <v>0.83199999999999985</v>
      </c>
      <c r="F8" s="1"/>
      <c r="G8" s="1"/>
      <c r="I8">
        <v>0.06</v>
      </c>
      <c r="J8">
        <v>0.04</v>
      </c>
      <c r="K8">
        <v>0.06</v>
      </c>
      <c r="L8">
        <v>0.84</v>
      </c>
      <c r="M8">
        <v>0</v>
      </c>
      <c r="N8">
        <v>0</v>
      </c>
      <c r="P8">
        <v>0.06</v>
      </c>
      <c r="Q8">
        <v>0.05</v>
      </c>
      <c r="R8">
        <v>0.08</v>
      </c>
      <c r="S8">
        <v>0.81</v>
      </c>
      <c r="T8">
        <v>0</v>
      </c>
      <c r="U8">
        <v>0</v>
      </c>
      <c r="W8">
        <v>0.03</v>
      </c>
      <c r="X8">
        <v>0.06</v>
      </c>
      <c r="Y8">
        <v>0.06</v>
      </c>
      <c r="Z8">
        <v>0.84</v>
      </c>
      <c r="AA8">
        <v>0</v>
      </c>
      <c r="AB8">
        <v>0</v>
      </c>
      <c r="AD8">
        <v>0.05</v>
      </c>
      <c r="AE8">
        <v>0.04</v>
      </c>
      <c r="AF8">
        <v>0.06</v>
      </c>
      <c r="AG8">
        <v>0.84</v>
      </c>
      <c r="AH8">
        <v>0</v>
      </c>
      <c r="AI8">
        <v>0</v>
      </c>
      <c r="AK8">
        <v>0.05</v>
      </c>
      <c r="AL8">
        <v>0.05</v>
      </c>
      <c r="AM8">
        <v>7.0000000000000007E-2</v>
      </c>
      <c r="AN8">
        <v>0.83</v>
      </c>
      <c r="AO8">
        <v>0</v>
      </c>
      <c r="AP8">
        <v>0</v>
      </c>
    </row>
    <row r="9" spans="1:42" x14ac:dyDescent="0.25">
      <c r="B9" s="1"/>
      <c r="C9" s="1"/>
      <c r="D9" s="1"/>
      <c r="E9" s="1"/>
      <c r="F9" s="11"/>
      <c r="G9" s="1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 x14ac:dyDescent="0.25">
      <c r="B10" s="1"/>
      <c r="C10" s="1"/>
      <c r="D10" s="1"/>
      <c r="E10" s="1"/>
      <c r="F10" s="1"/>
      <c r="G10" s="11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0.83799999999999986</v>
      </c>
      <c r="C12" s="1"/>
      <c r="D12" s="1"/>
      <c r="E12" s="1"/>
      <c r="F12" s="1"/>
      <c r="G12" s="1"/>
      <c r="I12">
        <v>0.83</v>
      </c>
      <c r="J12">
        <v>935</v>
      </c>
      <c r="P12">
        <v>0.84</v>
      </c>
      <c r="Q12">
        <v>931</v>
      </c>
      <c r="W12">
        <v>0.84</v>
      </c>
      <c r="X12">
        <v>932</v>
      </c>
      <c r="AD12">
        <v>0.84</v>
      </c>
      <c r="AE12">
        <v>933</v>
      </c>
      <c r="AK12">
        <v>0.84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30</v>
      </c>
      <c r="E15" t="s">
        <v>29</v>
      </c>
    </row>
    <row r="16" spans="1:42" x14ac:dyDescent="0.25">
      <c r="A16" t="s">
        <v>0</v>
      </c>
      <c r="B16" s="11">
        <f>AVERAGE(I16,P16,W16,AD16,AK16)</f>
        <v>0.66199999999999992</v>
      </c>
      <c r="C16" s="1">
        <f t="shared" ref="C16:C21" si="5">AVERAGE(J16,Q16,X16,AE16,AL16)</f>
        <v>1.2E-2</v>
      </c>
      <c r="D16" s="1">
        <f t="shared" ref="D16:D21" si="6">AVERAGE(K16,R16,Y16,AF16,AM16)</f>
        <v>0.18</v>
      </c>
      <c r="E16" s="1">
        <f t="shared" ref="E16:E21" si="7">AVERAGE(L16,S16,Z16,AG16,AN16)</f>
        <v>0.14800000000000002</v>
      </c>
      <c r="F16" s="1"/>
      <c r="G16" s="1"/>
      <c r="I16">
        <v>0.59</v>
      </c>
      <c r="J16">
        <v>0.06</v>
      </c>
      <c r="K16">
        <v>0.24</v>
      </c>
      <c r="L16">
        <v>0.12</v>
      </c>
      <c r="M16">
        <v>0</v>
      </c>
      <c r="N16">
        <v>0</v>
      </c>
      <c r="P16">
        <v>0.72</v>
      </c>
      <c r="Q16">
        <v>0</v>
      </c>
      <c r="R16">
        <v>0.22</v>
      </c>
      <c r="S16">
        <v>0.06</v>
      </c>
      <c r="T16">
        <v>0</v>
      </c>
      <c r="U16">
        <v>0</v>
      </c>
      <c r="W16">
        <v>0.78</v>
      </c>
      <c r="X16">
        <v>0</v>
      </c>
      <c r="Y16">
        <v>0</v>
      </c>
      <c r="Z16">
        <v>0.22</v>
      </c>
      <c r="AA16">
        <v>0</v>
      </c>
      <c r="AB16">
        <v>0</v>
      </c>
      <c r="AD16">
        <v>0.61</v>
      </c>
      <c r="AE16">
        <v>0</v>
      </c>
      <c r="AF16">
        <v>0.22</v>
      </c>
      <c r="AG16">
        <v>0.17</v>
      </c>
      <c r="AH16">
        <v>0</v>
      </c>
      <c r="AI16">
        <v>0</v>
      </c>
      <c r="AK16">
        <v>0.61</v>
      </c>
      <c r="AL16">
        <v>0</v>
      </c>
      <c r="AM16">
        <v>0.22</v>
      </c>
      <c r="AN16">
        <v>0.17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23" si="8">AVERAGE(I17,P17,W17,AD17,AK17)</f>
        <v>2.8000000000000004E-2</v>
      </c>
      <c r="C17" s="11">
        <f>AVERAGE(J17,Q17,X17,AE17,AL17)</f>
        <v>0.61799999999999999</v>
      </c>
      <c r="D17" s="1">
        <f t="shared" si="6"/>
        <v>0.10600000000000001</v>
      </c>
      <c r="E17" s="1">
        <f t="shared" si="7"/>
        <v>0.252</v>
      </c>
      <c r="F17" s="1"/>
      <c r="G17" s="1"/>
      <c r="I17">
        <v>0</v>
      </c>
      <c r="J17">
        <v>0.6</v>
      </c>
      <c r="K17">
        <v>0</v>
      </c>
      <c r="L17">
        <v>0.4</v>
      </c>
      <c r="M17">
        <v>0</v>
      </c>
      <c r="N17">
        <v>0</v>
      </c>
      <c r="P17">
        <v>0</v>
      </c>
      <c r="Q17">
        <v>0.75</v>
      </c>
      <c r="R17">
        <v>0.13</v>
      </c>
      <c r="S17">
        <v>0.13</v>
      </c>
      <c r="T17">
        <v>0</v>
      </c>
      <c r="U17">
        <v>0</v>
      </c>
      <c r="W17">
        <v>0</v>
      </c>
      <c r="X17">
        <v>0.67</v>
      </c>
      <c r="Y17">
        <v>0.13</v>
      </c>
      <c r="Z17">
        <v>0.2</v>
      </c>
      <c r="AA17">
        <v>0</v>
      </c>
      <c r="AB17">
        <v>0</v>
      </c>
      <c r="AD17">
        <v>7.0000000000000007E-2</v>
      </c>
      <c r="AE17">
        <v>0.6</v>
      </c>
      <c r="AF17">
        <v>0.2</v>
      </c>
      <c r="AG17">
        <v>0.13</v>
      </c>
      <c r="AH17">
        <v>0</v>
      </c>
      <c r="AI17">
        <v>0</v>
      </c>
      <c r="AK17">
        <v>7.0000000000000007E-2</v>
      </c>
      <c r="AL17">
        <v>0.47</v>
      </c>
      <c r="AM17">
        <v>7.0000000000000007E-2</v>
      </c>
      <c r="AN17">
        <v>0.4</v>
      </c>
      <c r="AO17">
        <v>0</v>
      </c>
      <c r="AP17">
        <v>0</v>
      </c>
    </row>
    <row r="18" spans="1:42" x14ac:dyDescent="0.25">
      <c r="A18" t="s">
        <v>30</v>
      </c>
      <c r="B18" s="1">
        <f t="shared" si="8"/>
        <v>0.19800000000000001</v>
      </c>
      <c r="C18" s="1">
        <f t="shared" si="5"/>
        <v>0.19400000000000001</v>
      </c>
      <c r="D18" s="11">
        <f>AVERAGE(K18,R18,Y18,AF18,AM18)</f>
        <v>0.34400000000000003</v>
      </c>
      <c r="E18" s="1">
        <f t="shared" si="7"/>
        <v>0.26200000000000001</v>
      </c>
      <c r="F18" s="1"/>
      <c r="G18" s="1"/>
      <c r="I18">
        <v>0.18</v>
      </c>
      <c r="J18">
        <v>0.2</v>
      </c>
      <c r="K18">
        <v>0.33</v>
      </c>
      <c r="L18">
        <v>0.28999999999999998</v>
      </c>
      <c r="M18">
        <v>0</v>
      </c>
      <c r="N18">
        <v>0</v>
      </c>
      <c r="P18">
        <v>0.26</v>
      </c>
      <c r="Q18">
        <v>0.13</v>
      </c>
      <c r="R18">
        <v>0.37</v>
      </c>
      <c r="S18">
        <v>0.24</v>
      </c>
      <c r="T18">
        <v>0</v>
      </c>
      <c r="U18">
        <v>0</v>
      </c>
      <c r="W18">
        <v>0.23</v>
      </c>
      <c r="X18">
        <v>0.2</v>
      </c>
      <c r="Y18">
        <v>0.33</v>
      </c>
      <c r="Z18">
        <v>0.24</v>
      </c>
      <c r="AA18">
        <v>0</v>
      </c>
      <c r="AB18">
        <v>0</v>
      </c>
      <c r="AD18">
        <v>0.13</v>
      </c>
      <c r="AE18">
        <v>0.21</v>
      </c>
      <c r="AF18">
        <v>0.33</v>
      </c>
      <c r="AG18">
        <v>0.32</v>
      </c>
      <c r="AH18">
        <v>0</v>
      </c>
      <c r="AI18">
        <v>0</v>
      </c>
      <c r="AK18">
        <v>0.19</v>
      </c>
      <c r="AL18">
        <v>0.23</v>
      </c>
      <c r="AM18">
        <v>0.36</v>
      </c>
      <c r="AN18">
        <v>0.22</v>
      </c>
      <c r="AO18">
        <v>0</v>
      </c>
      <c r="AP18">
        <v>0</v>
      </c>
    </row>
    <row r="19" spans="1:42" x14ac:dyDescent="0.25">
      <c r="A19" t="s">
        <v>29</v>
      </c>
      <c r="B19" s="1">
        <f t="shared" si="8"/>
        <v>9.8000000000000004E-2</v>
      </c>
      <c r="C19" s="1">
        <f t="shared" si="5"/>
        <v>0.10800000000000001</v>
      </c>
      <c r="D19" s="1">
        <f t="shared" si="6"/>
        <v>0.14399999999999999</v>
      </c>
      <c r="E19" s="11">
        <f>AVERAGE(L19,S19,Z19,AG19,AN19)</f>
        <v>0.64800000000000002</v>
      </c>
      <c r="F19" s="1"/>
      <c r="G19" s="1"/>
      <c r="I19">
        <v>0.08</v>
      </c>
      <c r="J19">
        <v>0.11</v>
      </c>
      <c r="K19">
        <v>0.11</v>
      </c>
      <c r="L19">
        <v>0.7</v>
      </c>
      <c r="M19">
        <v>0</v>
      </c>
      <c r="N19">
        <v>0</v>
      </c>
      <c r="P19">
        <v>0.09</v>
      </c>
      <c r="Q19">
        <v>7.0000000000000007E-2</v>
      </c>
      <c r="R19">
        <v>0.19</v>
      </c>
      <c r="S19">
        <v>0.65</v>
      </c>
      <c r="T19">
        <v>0</v>
      </c>
      <c r="U19">
        <v>0</v>
      </c>
      <c r="W19">
        <v>0.09</v>
      </c>
      <c r="X19">
        <v>0.14000000000000001</v>
      </c>
      <c r="Y19">
        <v>0.15</v>
      </c>
      <c r="Z19">
        <v>0.62</v>
      </c>
      <c r="AA19">
        <v>0</v>
      </c>
      <c r="AB19">
        <v>0</v>
      </c>
      <c r="AD19">
        <v>0.12</v>
      </c>
      <c r="AE19">
        <v>0.15</v>
      </c>
      <c r="AF19">
        <v>0.04</v>
      </c>
      <c r="AG19">
        <v>0.68</v>
      </c>
      <c r="AH19">
        <v>0</v>
      </c>
      <c r="AI19">
        <v>0</v>
      </c>
      <c r="AK19">
        <v>0.11</v>
      </c>
      <c r="AL19">
        <v>7.0000000000000007E-2</v>
      </c>
      <c r="AM19">
        <v>0.23</v>
      </c>
      <c r="AN19">
        <v>0.59</v>
      </c>
      <c r="AO19">
        <v>0</v>
      </c>
      <c r="AP19">
        <v>0</v>
      </c>
    </row>
    <row r="20" spans="1:42" x14ac:dyDescent="0.25">
      <c r="B20" s="1"/>
      <c r="C20" s="1"/>
      <c r="D20" s="1"/>
      <c r="E20" s="1"/>
      <c r="F20" s="11"/>
      <c r="G20" s="1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 x14ac:dyDescent="0.25">
      <c r="B21" s="1"/>
      <c r="C21" s="1"/>
      <c r="D21" s="1"/>
      <c r="E21" s="1"/>
      <c r="F21" s="1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0.56799999999999995</v>
      </c>
      <c r="C23" s="1"/>
      <c r="D23" s="1"/>
      <c r="E23" s="1"/>
      <c r="F23" s="1"/>
      <c r="G23" s="1"/>
      <c r="I23">
        <v>0.55000000000000004</v>
      </c>
      <c r="J23">
        <v>231</v>
      </c>
      <c r="P23">
        <v>0.62</v>
      </c>
      <c r="Q23">
        <v>235</v>
      </c>
      <c r="W23">
        <v>0.6</v>
      </c>
      <c r="X23">
        <v>234</v>
      </c>
      <c r="AD23">
        <v>0.56000000000000005</v>
      </c>
      <c r="AE23">
        <v>233</v>
      </c>
      <c r="AK23">
        <v>0.51</v>
      </c>
      <c r="AL23">
        <v>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10</vt:i4>
      </vt:variant>
    </vt:vector>
  </HeadingPairs>
  <TitlesOfParts>
    <vt:vector size="10" baseType="lpstr">
      <vt:lpstr>Arch 1 All G S</vt:lpstr>
      <vt:lpstr>Arch 2 All D 16y S</vt:lpstr>
      <vt:lpstr>Arch 3 All S 16n</vt:lpstr>
      <vt:lpstr>Lean vs All</vt:lpstr>
      <vt:lpstr>h0_16y_K5</vt:lpstr>
      <vt:lpstr>h0 Strat</vt:lpstr>
      <vt:lpstr>h0 K10</vt:lpstr>
      <vt:lpstr>h0_S</vt:lpstr>
      <vt:lpstr>h0 NoOtherPP</vt:lpstr>
      <vt:lpstr>h0 Opti K5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</dc:creator>
  <cp:lastModifiedBy>Filippo</cp:lastModifiedBy>
  <dcterms:created xsi:type="dcterms:W3CDTF">2020-11-27T12:28:48Z</dcterms:created>
  <dcterms:modified xsi:type="dcterms:W3CDTF">2020-12-07T18:40:19Z</dcterms:modified>
</cp:coreProperties>
</file>