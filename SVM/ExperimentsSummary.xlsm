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Filippo\Documents\Proj inz\SVM\"/>
    </mc:Choice>
  </mc:AlternateContent>
  <xr:revisionPtr revIDLastSave="0" documentId="13_ncr:1_{49B6ADCB-4B11-4E03-A76D-ABBB542DA8D8}" xr6:coauthVersionLast="45" xr6:coauthVersionMax="45" xr10:uidLastSave="{00000000-0000-0000-0000-000000000000}"/>
  <bookViews>
    <workbookView xWindow="1755" yWindow="1920" windowWidth="15375" windowHeight="7875" tabRatio="916" activeTab="1" xr2:uid="{782994AB-0876-4FFA-A068-5BFF8374BABE}"/>
  </bookViews>
  <sheets>
    <sheet name="Comp" sheetId="43" r:id="rId1"/>
    <sheet name="1 Grid" sheetId="40" r:id="rId2"/>
    <sheet name="2 Det" sheetId="42" r:id="rId3"/>
    <sheet name="3 No LD PP POMYLKA Z G D" sheetId="44" r:id="rId4"/>
    <sheet name="3 NoOtherPP D" sheetId="33" r:id="rId5"/>
    <sheet name="4 Opti_K5_Grid" sheetId="38" r:id="rId6"/>
    <sheet name="h0 Opti K5 D" sheetId="37" r:id="rId7"/>
    <sheet name="h0 Strat" sheetId="18" r:id="rId8"/>
    <sheet name="h0_S" sheetId="25" r:id="rId9"/>
    <sheet name="arch Lean vs All" sheetId="10" r:id="rId10"/>
    <sheet name="Arch G h0 K5" sheetId="41" r:id="rId11"/>
    <sheet name="Arch 1 All G S" sheetId="21" r:id="rId12"/>
    <sheet name="Arch 2 All D 16y S" sheetId="22" r:id="rId13"/>
    <sheet name="Arch 3 All S 16n" sheetId="23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1" i="43" l="1"/>
  <c r="R4" i="43"/>
  <c r="S4" i="43"/>
  <c r="T4" i="43"/>
  <c r="U4" i="43"/>
  <c r="V4" i="43"/>
  <c r="R5" i="43"/>
  <c r="S5" i="43"/>
  <c r="T5" i="43"/>
  <c r="U5" i="43"/>
  <c r="V5" i="43"/>
  <c r="R6" i="43"/>
  <c r="S6" i="43"/>
  <c r="T6" i="43"/>
  <c r="U6" i="43"/>
  <c r="V6" i="43"/>
  <c r="R7" i="43"/>
  <c r="S7" i="43"/>
  <c r="T7" i="43"/>
  <c r="U7" i="43"/>
  <c r="V7" i="43"/>
  <c r="R8" i="43"/>
  <c r="S8" i="43"/>
  <c r="T8" i="43"/>
  <c r="U8" i="43"/>
  <c r="V8" i="43"/>
  <c r="R9" i="43"/>
  <c r="S9" i="43"/>
  <c r="T9" i="43"/>
  <c r="U9" i="43"/>
  <c r="V9" i="43"/>
  <c r="R10" i="43"/>
  <c r="S10" i="43"/>
  <c r="T10" i="43"/>
  <c r="U10" i="43"/>
  <c r="V10" i="43"/>
  <c r="Q5" i="43"/>
  <c r="Q6" i="43"/>
  <c r="Q7" i="43"/>
  <c r="Q8" i="43"/>
  <c r="Q9" i="43"/>
  <c r="Q10" i="43"/>
  <c r="Q4" i="43"/>
  <c r="G19" i="42"/>
  <c r="F19" i="42"/>
  <c r="E19" i="42"/>
  <c r="D19" i="42"/>
  <c r="C19" i="42"/>
  <c r="B19" i="42"/>
  <c r="B19" i="40"/>
  <c r="G19" i="40"/>
  <c r="F19" i="40"/>
  <c r="E19" i="40"/>
  <c r="D19" i="40"/>
  <c r="C19" i="40"/>
  <c r="B23" i="33"/>
  <c r="B20" i="42"/>
  <c r="G18" i="42"/>
  <c r="F18" i="42"/>
  <c r="E18" i="42"/>
  <c r="D18" i="42"/>
  <c r="C18" i="42"/>
  <c r="B18" i="42"/>
  <c r="G17" i="42"/>
  <c r="F17" i="42"/>
  <c r="E17" i="42"/>
  <c r="D17" i="42"/>
  <c r="C17" i="42"/>
  <c r="B17" i="42"/>
  <c r="G16" i="42"/>
  <c r="F16" i="42"/>
  <c r="E16" i="42"/>
  <c r="D16" i="42"/>
  <c r="C16" i="42"/>
  <c r="B16" i="42"/>
  <c r="G15" i="42"/>
  <c r="F15" i="42"/>
  <c r="E15" i="42"/>
  <c r="D15" i="42"/>
  <c r="C15" i="42"/>
  <c r="B15" i="42"/>
  <c r="G14" i="42"/>
  <c r="F14" i="42"/>
  <c r="E14" i="42"/>
  <c r="D14" i="42"/>
  <c r="C14" i="42"/>
  <c r="B14" i="42"/>
  <c r="G13" i="42"/>
  <c r="F13" i="42"/>
  <c r="E13" i="42"/>
  <c r="D13" i="42"/>
  <c r="C13" i="42"/>
  <c r="B13" i="42"/>
  <c r="B9" i="42"/>
  <c r="G7" i="42"/>
  <c r="F7" i="42"/>
  <c r="E7" i="42"/>
  <c r="D7" i="42"/>
  <c r="C7" i="42"/>
  <c r="B7" i="42"/>
  <c r="G6" i="42"/>
  <c r="F6" i="42"/>
  <c r="E6" i="42"/>
  <c r="D6" i="42"/>
  <c r="C6" i="42"/>
  <c r="B6" i="42"/>
  <c r="G5" i="42"/>
  <c r="F5" i="42"/>
  <c r="E5" i="42"/>
  <c r="D5" i="42"/>
  <c r="C5" i="42"/>
  <c r="B5" i="42"/>
  <c r="G4" i="42"/>
  <c r="F4" i="42"/>
  <c r="E4" i="42"/>
  <c r="D4" i="42"/>
  <c r="C4" i="42"/>
  <c r="B4" i="42"/>
  <c r="G3" i="42"/>
  <c r="F3" i="42"/>
  <c r="E3" i="42"/>
  <c r="D3" i="42"/>
  <c r="C3" i="42"/>
  <c r="B3" i="42"/>
  <c r="G2" i="42"/>
  <c r="F2" i="42"/>
  <c r="E2" i="42"/>
  <c r="D2" i="42"/>
  <c r="C2" i="42"/>
  <c r="B2" i="42"/>
  <c r="B23" i="41"/>
  <c r="B12" i="41"/>
  <c r="G21" i="41"/>
  <c r="F20" i="41"/>
  <c r="E19" i="41"/>
  <c r="D18" i="41"/>
  <c r="C17" i="41"/>
  <c r="B16" i="41"/>
  <c r="G10" i="41"/>
  <c r="F9" i="41"/>
  <c r="E8" i="41"/>
  <c r="D7" i="41"/>
  <c r="C6" i="41"/>
  <c r="F21" i="41"/>
  <c r="E21" i="41"/>
  <c r="D21" i="41"/>
  <c r="C21" i="41"/>
  <c r="B21" i="41"/>
  <c r="G20" i="41"/>
  <c r="E20" i="41"/>
  <c r="D20" i="41"/>
  <c r="C20" i="41"/>
  <c r="B20" i="41"/>
  <c r="G19" i="41"/>
  <c r="F19" i="41"/>
  <c r="D19" i="41"/>
  <c r="C19" i="41"/>
  <c r="B19" i="41"/>
  <c r="G18" i="41"/>
  <c r="F18" i="41"/>
  <c r="E18" i="41"/>
  <c r="C18" i="41"/>
  <c r="B18" i="41"/>
  <c r="G17" i="41"/>
  <c r="F17" i="41"/>
  <c r="E17" i="41"/>
  <c r="D17" i="41"/>
  <c r="B17" i="41"/>
  <c r="G16" i="41"/>
  <c r="F16" i="41"/>
  <c r="E16" i="41"/>
  <c r="D16" i="41"/>
  <c r="C16" i="41"/>
  <c r="B6" i="41"/>
  <c r="D6" i="41"/>
  <c r="E6" i="41"/>
  <c r="F6" i="41"/>
  <c r="G6" i="41"/>
  <c r="B7" i="41"/>
  <c r="C7" i="41"/>
  <c r="E7" i="41"/>
  <c r="F7" i="41"/>
  <c r="G7" i="41"/>
  <c r="B8" i="41"/>
  <c r="C8" i="41"/>
  <c r="D8" i="41"/>
  <c r="F8" i="41"/>
  <c r="G8" i="41"/>
  <c r="B9" i="41"/>
  <c r="C9" i="41"/>
  <c r="D9" i="41"/>
  <c r="E9" i="41"/>
  <c r="G9" i="41"/>
  <c r="B10" i="41"/>
  <c r="C10" i="41"/>
  <c r="D10" i="41"/>
  <c r="E10" i="41"/>
  <c r="F10" i="41"/>
  <c r="C5" i="41"/>
  <c r="D5" i="41"/>
  <c r="E5" i="41"/>
  <c r="F5" i="41"/>
  <c r="G5" i="41"/>
  <c r="B5" i="41"/>
  <c r="G18" i="40"/>
  <c r="B20" i="40"/>
  <c r="B9" i="40"/>
  <c r="B14" i="40"/>
  <c r="C14" i="40"/>
  <c r="D14" i="40"/>
  <c r="E14" i="40"/>
  <c r="F14" i="40"/>
  <c r="G14" i="40"/>
  <c r="B15" i="40"/>
  <c r="C15" i="40"/>
  <c r="D15" i="40"/>
  <c r="E15" i="40"/>
  <c r="F15" i="40"/>
  <c r="G15" i="40"/>
  <c r="B16" i="40"/>
  <c r="C16" i="40"/>
  <c r="D16" i="40"/>
  <c r="E16" i="40"/>
  <c r="F16" i="40"/>
  <c r="G16" i="40"/>
  <c r="B17" i="40"/>
  <c r="C17" i="40"/>
  <c r="D17" i="40"/>
  <c r="E17" i="40"/>
  <c r="F17" i="40"/>
  <c r="G17" i="40"/>
  <c r="B18" i="40"/>
  <c r="C18" i="40"/>
  <c r="D18" i="40"/>
  <c r="E18" i="40"/>
  <c r="F18" i="40"/>
  <c r="C13" i="40"/>
  <c r="D13" i="40"/>
  <c r="E13" i="40"/>
  <c r="F13" i="40"/>
  <c r="G13" i="40"/>
  <c r="B13" i="40"/>
  <c r="B3" i="40"/>
  <c r="C3" i="40"/>
  <c r="D3" i="40"/>
  <c r="E3" i="40"/>
  <c r="F3" i="40"/>
  <c r="G3" i="40"/>
  <c r="B4" i="40"/>
  <c r="C4" i="40"/>
  <c r="D4" i="40"/>
  <c r="E4" i="40"/>
  <c r="F4" i="40"/>
  <c r="G4" i="40"/>
  <c r="B5" i="40"/>
  <c r="C5" i="40"/>
  <c r="D5" i="40"/>
  <c r="E5" i="40"/>
  <c r="F5" i="40"/>
  <c r="G5" i="40"/>
  <c r="B6" i="40"/>
  <c r="C6" i="40"/>
  <c r="D6" i="40"/>
  <c r="E6" i="40"/>
  <c r="F6" i="40"/>
  <c r="G6" i="40"/>
  <c r="B7" i="40"/>
  <c r="C7" i="40"/>
  <c r="D7" i="40"/>
  <c r="E7" i="40"/>
  <c r="F7" i="40"/>
  <c r="G7" i="40"/>
  <c r="C2" i="40"/>
  <c r="D2" i="40"/>
  <c r="E2" i="40"/>
  <c r="F2" i="40"/>
  <c r="G2" i="40"/>
  <c r="B2" i="40"/>
  <c r="B33" i="38"/>
  <c r="C33" i="38"/>
  <c r="D33" i="38"/>
  <c r="E33" i="38"/>
  <c r="B34" i="38"/>
  <c r="C34" i="38"/>
  <c r="D34" i="38"/>
  <c r="E34" i="38"/>
  <c r="B35" i="38"/>
  <c r="C35" i="38"/>
  <c r="D35" i="38"/>
  <c r="E35" i="38"/>
  <c r="C32" i="38"/>
  <c r="D32" i="38"/>
  <c r="E32" i="38"/>
  <c r="B32" i="38"/>
  <c r="B21" i="38"/>
  <c r="B12" i="38"/>
  <c r="E19" i="38"/>
  <c r="D18" i="38"/>
  <c r="C17" i="38"/>
  <c r="B16" i="38"/>
  <c r="G10" i="38"/>
  <c r="F9" i="38"/>
  <c r="E8" i="38"/>
  <c r="D7" i="38"/>
  <c r="C6" i="38"/>
  <c r="D19" i="38"/>
  <c r="C19" i="38"/>
  <c r="B19" i="38"/>
  <c r="E18" i="38"/>
  <c r="C18" i="38"/>
  <c r="B18" i="38"/>
  <c r="E17" i="38"/>
  <c r="D17" i="38"/>
  <c r="B17" i="38"/>
  <c r="E16" i="38"/>
  <c r="D16" i="38"/>
  <c r="C16" i="38"/>
  <c r="B6" i="38"/>
  <c r="D6" i="38"/>
  <c r="E6" i="38"/>
  <c r="F6" i="38"/>
  <c r="G6" i="38"/>
  <c r="B7" i="38"/>
  <c r="C7" i="38"/>
  <c r="E7" i="38"/>
  <c r="F7" i="38"/>
  <c r="G7" i="38"/>
  <c r="B8" i="38"/>
  <c r="C8" i="38"/>
  <c r="D8" i="38"/>
  <c r="F8" i="38"/>
  <c r="G8" i="38"/>
  <c r="B9" i="38"/>
  <c r="C9" i="38"/>
  <c r="D9" i="38"/>
  <c r="E9" i="38"/>
  <c r="G9" i="38"/>
  <c r="B10" i="38"/>
  <c r="C10" i="38"/>
  <c r="D10" i="38"/>
  <c r="E10" i="38"/>
  <c r="F10" i="38"/>
  <c r="C5" i="38"/>
  <c r="D5" i="38"/>
  <c r="E5" i="38"/>
  <c r="F5" i="38"/>
  <c r="G5" i="38"/>
  <c r="B5" i="38"/>
  <c r="B7" i="37" l="1"/>
  <c r="B23" i="37"/>
  <c r="B12" i="37"/>
  <c r="E19" i="37"/>
  <c r="D18" i="37"/>
  <c r="C17" i="37"/>
  <c r="B16" i="37"/>
  <c r="E8" i="37"/>
  <c r="D7" i="37"/>
  <c r="C6" i="37"/>
  <c r="D19" i="37"/>
  <c r="C19" i="37"/>
  <c r="B19" i="37"/>
  <c r="E18" i="37"/>
  <c r="C18" i="37"/>
  <c r="B18" i="37"/>
  <c r="E17" i="37"/>
  <c r="D17" i="37"/>
  <c r="B17" i="37"/>
  <c r="E16" i="37"/>
  <c r="D16" i="37"/>
  <c r="C16" i="37"/>
  <c r="B6" i="37"/>
  <c r="D6" i="37"/>
  <c r="E6" i="37"/>
  <c r="C7" i="37"/>
  <c r="E7" i="37"/>
  <c r="B8" i="37"/>
  <c r="C8" i="37"/>
  <c r="D8" i="37"/>
  <c r="C5" i="37"/>
  <c r="D5" i="37"/>
  <c r="E5" i="37"/>
  <c r="B5" i="37"/>
  <c r="E8" i="33" l="1"/>
  <c r="B12" i="33"/>
  <c r="B17" i="33"/>
  <c r="C17" i="33"/>
  <c r="D17" i="33"/>
  <c r="E17" i="33"/>
  <c r="B18" i="33"/>
  <c r="C18" i="33"/>
  <c r="D18" i="33"/>
  <c r="E18" i="33"/>
  <c r="B19" i="33"/>
  <c r="C19" i="33"/>
  <c r="D19" i="33"/>
  <c r="E19" i="33"/>
  <c r="C16" i="33"/>
  <c r="D16" i="33"/>
  <c r="E16" i="33"/>
  <c r="B16" i="33"/>
  <c r="B6" i="33"/>
  <c r="C6" i="33"/>
  <c r="D6" i="33"/>
  <c r="E6" i="33"/>
  <c r="B7" i="33"/>
  <c r="C7" i="33"/>
  <c r="D7" i="33"/>
  <c r="E7" i="33"/>
  <c r="B8" i="33"/>
  <c r="C8" i="33"/>
  <c r="D8" i="33"/>
  <c r="C5" i="33"/>
  <c r="D5" i="33"/>
  <c r="E5" i="33"/>
  <c r="B5" i="33"/>
  <c r="B28" i="25" l="1"/>
  <c r="C28" i="25"/>
  <c r="D28" i="25"/>
  <c r="E28" i="25"/>
  <c r="F28" i="25"/>
  <c r="G28" i="25"/>
  <c r="B29" i="25"/>
  <c r="C29" i="25"/>
  <c r="D29" i="25"/>
  <c r="E29" i="25"/>
  <c r="F29" i="25"/>
  <c r="G29" i="25"/>
  <c r="B30" i="25"/>
  <c r="C30" i="25"/>
  <c r="D30" i="25"/>
  <c r="E30" i="25"/>
  <c r="F30" i="25"/>
  <c r="G30" i="25"/>
  <c r="B31" i="25"/>
  <c r="C31" i="25"/>
  <c r="D31" i="25"/>
  <c r="E31" i="25"/>
  <c r="F31" i="25"/>
  <c r="G31" i="25"/>
  <c r="B32" i="25"/>
  <c r="C32" i="25"/>
  <c r="D32" i="25"/>
  <c r="E32" i="25"/>
  <c r="F32" i="25"/>
  <c r="G32" i="25"/>
  <c r="B33" i="25"/>
  <c r="C33" i="25"/>
  <c r="D33" i="25"/>
  <c r="E33" i="25"/>
  <c r="F33" i="25"/>
  <c r="G33" i="25"/>
  <c r="B35" i="25"/>
  <c r="B39" i="25"/>
  <c r="C39" i="25"/>
  <c r="D39" i="25"/>
  <c r="E39" i="25"/>
  <c r="F39" i="25"/>
  <c r="G39" i="25"/>
  <c r="B40" i="25"/>
  <c r="C40" i="25"/>
  <c r="D40" i="25"/>
  <c r="E40" i="25"/>
  <c r="F40" i="25"/>
  <c r="G40" i="25"/>
  <c r="B41" i="25"/>
  <c r="C41" i="25"/>
  <c r="D41" i="25"/>
  <c r="E41" i="25"/>
  <c r="F41" i="25"/>
  <c r="G41" i="25"/>
  <c r="B42" i="25"/>
  <c r="C42" i="25"/>
  <c r="D42" i="25"/>
  <c r="E42" i="25"/>
  <c r="F42" i="25"/>
  <c r="G42" i="25"/>
  <c r="B43" i="25"/>
  <c r="C43" i="25"/>
  <c r="D43" i="25"/>
  <c r="E43" i="25"/>
  <c r="F43" i="25"/>
  <c r="G43" i="25"/>
  <c r="B44" i="25"/>
  <c r="C44" i="25"/>
  <c r="D44" i="25"/>
  <c r="E44" i="25"/>
  <c r="F44" i="25"/>
  <c r="G44" i="25"/>
  <c r="B46" i="25"/>
  <c r="AA35" i="18"/>
  <c r="AA34" i="18"/>
  <c r="Z35" i="18" l="1"/>
  <c r="Y35" i="18"/>
  <c r="U10" i="10"/>
  <c r="C17" i="23"/>
  <c r="B16" i="23"/>
  <c r="B16" i="25"/>
  <c r="F20" i="25"/>
  <c r="C17" i="25"/>
  <c r="B29" i="23"/>
  <c r="C29" i="23"/>
  <c r="D29" i="23"/>
  <c r="E29" i="23"/>
  <c r="F29" i="23"/>
  <c r="G29" i="23"/>
  <c r="B30" i="23"/>
  <c r="C30" i="23"/>
  <c r="D30" i="23"/>
  <c r="E30" i="23"/>
  <c r="F30" i="23"/>
  <c r="G30" i="23"/>
  <c r="B31" i="23"/>
  <c r="C31" i="23"/>
  <c r="D31" i="23"/>
  <c r="E31" i="23"/>
  <c r="F31" i="23"/>
  <c r="G31" i="23"/>
  <c r="B32" i="23"/>
  <c r="C32" i="23"/>
  <c r="D32" i="23"/>
  <c r="E32" i="23"/>
  <c r="F32" i="23"/>
  <c r="G32" i="23"/>
  <c r="B33" i="23"/>
  <c r="C33" i="23"/>
  <c r="D33" i="23"/>
  <c r="E33" i="23"/>
  <c r="F33" i="23"/>
  <c r="G33" i="23"/>
  <c r="B34" i="23"/>
  <c r="C34" i="23"/>
  <c r="D34" i="23"/>
  <c r="E34" i="23"/>
  <c r="F34" i="23"/>
  <c r="G34" i="23"/>
  <c r="B36" i="23"/>
  <c r="B40" i="23"/>
  <c r="C40" i="23"/>
  <c r="D40" i="23"/>
  <c r="E40" i="23"/>
  <c r="F40" i="23"/>
  <c r="G40" i="23"/>
  <c r="B41" i="23"/>
  <c r="C41" i="23"/>
  <c r="D41" i="23"/>
  <c r="E41" i="23"/>
  <c r="F41" i="23"/>
  <c r="G41" i="23"/>
  <c r="B42" i="23"/>
  <c r="C42" i="23"/>
  <c r="D42" i="23"/>
  <c r="E42" i="23"/>
  <c r="F42" i="23"/>
  <c r="G42" i="23"/>
  <c r="B43" i="23"/>
  <c r="C43" i="23"/>
  <c r="D43" i="23"/>
  <c r="E43" i="23"/>
  <c r="F43" i="23"/>
  <c r="G43" i="23"/>
  <c r="B44" i="23"/>
  <c r="C44" i="23"/>
  <c r="D44" i="23"/>
  <c r="E44" i="23"/>
  <c r="F44" i="23"/>
  <c r="G44" i="23"/>
  <c r="B45" i="23"/>
  <c r="C45" i="23"/>
  <c r="D45" i="23"/>
  <c r="E45" i="23"/>
  <c r="F45" i="23"/>
  <c r="G45" i="23"/>
  <c r="B47" i="23"/>
  <c r="B23" i="25"/>
  <c r="B12" i="25"/>
  <c r="G21" i="25"/>
  <c r="E19" i="25"/>
  <c r="D18" i="25"/>
  <c r="G10" i="25"/>
  <c r="F9" i="25"/>
  <c r="E8" i="25"/>
  <c r="D7" i="25"/>
  <c r="C6" i="25"/>
  <c r="F21" i="25"/>
  <c r="E21" i="25"/>
  <c r="D21" i="25"/>
  <c r="C21" i="25"/>
  <c r="B21" i="25"/>
  <c r="G20" i="25"/>
  <c r="E20" i="25"/>
  <c r="D20" i="25"/>
  <c r="C20" i="25"/>
  <c r="B20" i="25"/>
  <c r="G19" i="25"/>
  <c r="F19" i="25"/>
  <c r="D19" i="25"/>
  <c r="C19" i="25"/>
  <c r="B19" i="25"/>
  <c r="G18" i="25"/>
  <c r="F18" i="25"/>
  <c r="E18" i="25"/>
  <c r="C18" i="25"/>
  <c r="B18" i="25"/>
  <c r="G17" i="25"/>
  <c r="F17" i="25"/>
  <c r="E17" i="25"/>
  <c r="D17" i="25"/>
  <c r="B17" i="25"/>
  <c r="G16" i="25"/>
  <c r="F16" i="25"/>
  <c r="E16" i="25"/>
  <c r="D16" i="25"/>
  <c r="C16" i="25"/>
  <c r="B6" i="25"/>
  <c r="D6" i="25"/>
  <c r="E6" i="25"/>
  <c r="F6" i="25"/>
  <c r="G6" i="25"/>
  <c r="B7" i="25"/>
  <c r="C7" i="25"/>
  <c r="E7" i="25"/>
  <c r="F7" i="25"/>
  <c r="G7" i="25"/>
  <c r="B8" i="25"/>
  <c r="C8" i="25"/>
  <c r="D8" i="25"/>
  <c r="F8" i="25"/>
  <c r="G8" i="25"/>
  <c r="B9" i="25"/>
  <c r="C9" i="25"/>
  <c r="D9" i="25"/>
  <c r="E9" i="25"/>
  <c r="G9" i="25"/>
  <c r="B10" i="25"/>
  <c r="C10" i="25"/>
  <c r="D10" i="25"/>
  <c r="E10" i="25"/>
  <c r="F10" i="25"/>
  <c r="C5" i="25"/>
  <c r="D5" i="25"/>
  <c r="E5" i="25"/>
  <c r="F5" i="25"/>
  <c r="G5" i="25"/>
  <c r="B5" i="25"/>
  <c r="F20" i="23"/>
  <c r="E19" i="23"/>
  <c r="D18" i="23"/>
  <c r="B22" i="22"/>
  <c r="B23" i="23"/>
  <c r="B12" i="23"/>
  <c r="G21" i="23"/>
  <c r="G10" i="23"/>
  <c r="F9" i="23"/>
  <c r="E8" i="23"/>
  <c r="D7" i="23"/>
  <c r="C6" i="23"/>
  <c r="F21" i="23"/>
  <c r="E21" i="23"/>
  <c r="D21" i="23"/>
  <c r="C21" i="23"/>
  <c r="B21" i="23"/>
  <c r="G20" i="23"/>
  <c r="E20" i="23"/>
  <c r="D20" i="23"/>
  <c r="C20" i="23"/>
  <c r="B20" i="23"/>
  <c r="G19" i="23"/>
  <c r="F19" i="23"/>
  <c r="D19" i="23"/>
  <c r="C19" i="23"/>
  <c r="B19" i="23"/>
  <c r="G18" i="23"/>
  <c r="F18" i="23"/>
  <c r="E18" i="23"/>
  <c r="C18" i="23"/>
  <c r="B18" i="23"/>
  <c r="G17" i="23"/>
  <c r="F17" i="23"/>
  <c r="E17" i="23"/>
  <c r="D17" i="23"/>
  <c r="B17" i="23"/>
  <c r="G16" i="23"/>
  <c r="F16" i="23"/>
  <c r="E16" i="23"/>
  <c r="D16" i="23"/>
  <c r="C16" i="23"/>
  <c r="B6" i="23"/>
  <c r="D6" i="23"/>
  <c r="E6" i="23"/>
  <c r="F6" i="23"/>
  <c r="G6" i="23"/>
  <c r="B7" i="23"/>
  <c r="C7" i="23"/>
  <c r="E7" i="23"/>
  <c r="F7" i="23"/>
  <c r="G7" i="23"/>
  <c r="B8" i="23"/>
  <c r="C8" i="23"/>
  <c r="D8" i="23"/>
  <c r="F8" i="23"/>
  <c r="G8" i="23"/>
  <c r="B9" i="23"/>
  <c r="C9" i="23"/>
  <c r="D9" i="23"/>
  <c r="E9" i="23"/>
  <c r="G9" i="23"/>
  <c r="B10" i="23"/>
  <c r="C10" i="23"/>
  <c r="D10" i="23"/>
  <c r="E10" i="23"/>
  <c r="F10" i="23"/>
  <c r="C5" i="23"/>
  <c r="D5" i="23"/>
  <c r="E5" i="23"/>
  <c r="F5" i="23"/>
  <c r="G5" i="23"/>
  <c r="B5" i="23"/>
  <c r="G22" i="22"/>
  <c r="F22" i="22"/>
  <c r="E22" i="22"/>
  <c r="D22" i="22"/>
  <c r="C22" i="22"/>
  <c r="B30" i="22"/>
  <c r="C30" i="22"/>
  <c r="D30" i="22"/>
  <c r="E30" i="22"/>
  <c r="F30" i="22"/>
  <c r="G30" i="22"/>
  <c r="B31" i="22"/>
  <c r="C31" i="22"/>
  <c r="D31" i="22"/>
  <c r="E31" i="22"/>
  <c r="F31" i="22"/>
  <c r="G31" i="22"/>
  <c r="B32" i="22"/>
  <c r="C32" i="22"/>
  <c r="D32" i="22"/>
  <c r="E32" i="22"/>
  <c r="F32" i="22"/>
  <c r="G32" i="22"/>
  <c r="B33" i="22"/>
  <c r="C33" i="22"/>
  <c r="D33" i="22"/>
  <c r="E33" i="22"/>
  <c r="F33" i="22"/>
  <c r="G33" i="22"/>
  <c r="B34" i="22"/>
  <c r="C34" i="22"/>
  <c r="D34" i="22"/>
  <c r="E34" i="22"/>
  <c r="F34" i="22"/>
  <c r="G34" i="22"/>
  <c r="B35" i="22"/>
  <c r="C35" i="22"/>
  <c r="D35" i="22"/>
  <c r="E35" i="22"/>
  <c r="F35" i="22"/>
  <c r="G35" i="22"/>
  <c r="B37" i="22"/>
  <c r="B41" i="22"/>
  <c r="C41" i="22"/>
  <c r="D41" i="22"/>
  <c r="E41" i="22"/>
  <c r="F41" i="22"/>
  <c r="G41" i="22"/>
  <c r="B42" i="22"/>
  <c r="C42" i="22"/>
  <c r="D42" i="22"/>
  <c r="E42" i="22"/>
  <c r="F42" i="22"/>
  <c r="G42" i="22"/>
  <c r="B43" i="22"/>
  <c r="C43" i="22"/>
  <c r="D43" i="22"/>
  <c r="E43" i="22"/>
  <c r="F43" i="22"/>
  <c r="G43" i="22"/>
  <c r="B44" i="22"/>
  <c r="C44" i="22"/>
  <c r="D44" i="22"/>
  <c r="E44" i="22"/>
  <c r="F44" i="22"/>
  <c r="G44" i="22"/>
  <c r="B45" i="22"/>
  <c r="C45" i="22"/>
  <c r="D45" i="22"/>
  <c r="E45" i="22"/>
  <c r="F45" i="22"/>
  <c r="G45" i="22"/>
  <c r="B46" i="22"/>
  <c r="C46" i="22"/>
  <c r="D46" i="22"/>
  <c r="E46" i="22"/>
  <c r="F46" i="22"/>
  <c r="G46" i="22"/>
  <c r="B48" i="22"/>
  <c r="B30" i="21"/>
  <c r="C30" i="21"/>
  <c r="D30" i="21"/>
  <c r="E30" i="21"/>
  <c r="F30" i="21"/>
  <c r="G30" i="21"/>
  <c r="B31" i="21"/>
  <c r="C31" i="21"/>
  <c r="D31" i="21"/>
  <c r="E31" i="21"/>
  <c r="F31" i="21"/>
  <c r="G31" i="21"/>
  <c r="B32" i="21"/>
  <c r="C32" i="21"/>
  <c r="D32" i="21"/>
  <c r="E32" i="21"/>
  <c r="F32" i="21"/>
  <c r="G32" i="21"/>
  <c r="B33" i="21"/>
  <c r="C33" i="21"/>
  <c r="D33" i="21"/>
  <c r="E33" i="21"/>
  <c r="F33" i="21"/>
  <c r="G33" i="21"/>
  <c r="B34" i="21"/>
  <c r="C34" i="21"/>
  <c r="D34" i="21"/>
  <c r="E34" i="21"/>
  <c r="F34" i="21"/>
  <c r="G34" i="21"/>
  <c r="B35" i="21"/>
  <c r="C35" i="21"/>
  <c r="D35" i="21"/>
  <c r="E35" i="21"/>
  <c r="F35" i="21"/>
  <c r="G35" i="21"/>
  <c r="B37" i="21"/>
  <c r="B41" i="21"/>
  <c r="C41" i="21"/>
  <c r="D41" i="21"/>
  <c r="E41" i="21"/>
  <c r="F41" i="21"/>
  <c r="G41" i="21"/>
  <c r="B42" i="21"/>
  <c r="C42" i="21"/>
  <c r="D42" i="21"/>
  <c r="E42" i="21"/>
  <c r="F42" i="21"/>
  <c r="G42" i="21"/>
  <c r="B43" i="21"/>
  <c r="C43" i="21"/>
  <c r="D43" i="21"/>
  <c r="E43" i="21"/>
  <c r="F43" i="21"/>
  <c r="G43" i="21"/>
  <c r="B44" i="21"/>
  <c r="C44" i="21"/>
  <c r="D44" i="21"/>
  <c r="E44" i="21"/>
  <c r="F44" i="21"/>
  <c r="G44" i="21"/>
  <c r="B45" i="21"/>
  <c r="C45" i="21"/>
  <c r="D45" i="21"/>
  <c r="E45" i="21"/>
  <c r="F45" i="21"/>
  <c r="G45" i="21"/>
  <c r="B46" i="21"/>
  <c r="C46" i="21"/>
  <c r="D46" i="21"/>
  <c r="E46" i="21"/>
  <c r="F46" i="21"/>
  <c r="G46" i="21"/>
  <c r="B48" i="21"/>
  <c r="G21" i="22" l="1"/>
  <c r="F20" i="22"/>
  <c r="C17" i="22"/>
  <c r="B23" i="22"/>
  <c r="B12" i="22"/>
  <c r="E19" i="22"/>
  <c r="D18" i="22"/>
  <c r="B16" i="22"/>
  <c r="G10" i="22"/>
  <c r="F9" i="22"/>
  <c r="E8" i="22"/>
  <c r="D7" i="22"/>
  <c r="C6" i="22"/>
  <c r="F21" i="22"/>
  <c r="E21" i="22"/>
  <c r="D21" i="22"/>
  <c r="C21" i="22"/>
  <c r="B21" i="22"/>
  <c r="G20" i="22"/>
  <c r="E20" i="22"/>
  <c r="D20" i="22"/>
  <c r="C20" i="22"/>
  <c r="B20" i="22"/>
  <c r="G19" i="22"/>
  <c r="F19" i="22"/>
  <c r="D19" i="22"/>
  <c r="C19" i="22"/>
  <c r="B19" i="22"/>
  <c r="G18" i="22"/>
  <c r="F18" i="22"/>
  <c r="E18" i="22"/>
  <c r="C18" i="22"/>
  <c r="B18" i="22"/>
  <c r="G17" i="22"/>
  <c r="F17" i="22"/>
  <c r="E17" i="22"/>
  <c r="D17" i="22"/>
  <c r="B17" i="22"/>
  <c r="G16" i="22"/>
  <c r="F16" i="22"/>
  <c r="E16" i="22"/>
  <c r="D16" i="22"/>
  <c r="C16" i="22"/>
  <c r="B6" i="22"/>
  <c r="D6" i="22"/>
  <c r="E6" i="22"/>
  <c r="F6" i="22"/>
  <c r="G6" i="22"/>
  <c r="B7" i="22"/>
  <c r="C7" i="22"/>
  <c r="E7" i="22"/>
  <c r="F7" i="22"/>
  <c r="G7" i="22"/>
  <c r="B8" i="22"/>
  <c r="C8" i="22"/>
  <c r="D8" i="22"/>
  <c r="F8" i="22"/>
  <c r="G8" i="22"/>
  <c r="B9" i="22"/>
  <c r="C9" i="22"/>
  <c r="D9" i="22"/>
  <c r="E9" i="22"/>
  <c r="G9" i="22"/>
  <c r="B10" i="22"/>
  <c r="C10" i="22"/>
  <c r="D10" i="22"/>
  <c r="E10" i="22"/>
  <c r="F10" i="22"/>
  <c r="C5" i="22"/>
  <c r="D5" i="22"/>
  <c r="E5" i="22"/>
  <c r="F5" i="22"/>
  <c r="G5" i="22"/>
  <c r="B5" i="22"/>
  <c r="B23" i="21"/>
  <c r="B12" i="21"/>
  <c r="G21" i="21"/>
  <c r="F20" i="21"/>
  <c r="E19" i="21"/>
  <c r="D18" i="21"/>
  <c r="C17" i="21"/>
  <c r="B16" i="21"/>
  <c r="G10" i="21"/>
  <c r="F9" i="21"/>
  <c r="E8" i="21"/>
  <c r="D7" i="21"/>
  <c r="C6" i="21"/>
  <c r="F21" i="21"/>
  <c r="E21" i="21"/>
  <c r="D21" i="21"/>
  <c r="C21" i="21"/>
  <c r="B21" i="21"/>
  <c r="G20" i="21"/>
  <c r="E20" i="21"/>
  <c r="D20" i="21"/>
  <c r="C20" i="21"/>
  <c r="C22" i="21" s="1"/>
  <c r="B20" i="21"/>
  <c r="G19" i="21"/>
  <c r="F19" i="21"/>
  <c r="D19" i="21"/>
  <c r="C19" i="21"/>
  <c r="B19" i="21"/>
  <c r="G18" i="21"/>
  <c r="F18" i="21"/>
  <c r="E18" i="21"/>
  <c r="C18" i="21"/>
  <c r="B18" i="21"/>
  <c r="G17" i="21"/>
  <c r="F17" i="21"/>
  <c r="E17" i="21"/>
  <c r="D17" i="21"/>
  <c r="B17" i="21"/>
  <c r="G16" i="21"/>
  <c r="F16" i="21"/>
  <c r="E16" i="21"/>
  <c r="D16" i="21"/>
  <c r="C16" i="21"/>
  <c r="B6" i="21"/>
  <c r="D6" i="21"/>
  <c r="E6" i="21"/>
  <c r="F6" i="21"/>
  <c r="G6" i="21"/>
  <c r="B7" i="21"/>
  <c r="C7" i="21"/>
  <c r="E7" i="21"/>
  <c r="F7" i="21"/>
  <c r="G7" i="21"/>
  <c r="B8" i="21"/>
  <c r="C8" i="21"/>
  <c r="D8" i="21"/>
  <c r="F8" i="21"/>
  <c r="G8" i="21"/>
  <c r="B9" i="21"/>
  <c r="C9" i="21"/>
  <c r="D9" i="21"/>
  <c r="E9" i="21"/>
  <c r="G9" i="21"/>
  <c r="B10" i="21"/>
  <c r="C10" i="21"/>
  <c r="D10" i="21"/>
  <c r="E10" i="21"/>
  <c r="F10" i="21"/>
  <c r="C5" i="21"/>
  <c r="D5" i="21"/>
  <c r="E5" i="21"/>
  <c r="F5" i="21"/>
  <c r="G5" i="21"/>
  <c r="B5" i="21"/>
  <c r="C17" i="18" l="1"/>
  <c r="F20" i="18"/>
  <c r="AA30" i="18" l="1"/>
  <c r="AA31" i="18"/>
  <c r="AA32" i="18"/>
  <c r="AA33" i="18"/>
  <c r="AA29" i="18"/>
  <c r="B23" i="18"/>
  <c r="B12" i="18"/>
  <c r="G21" i="18"/>
  <c r="E19" i="18"/>
  <c r="D18" i="18"/>
  <c r="B16" i="18"/>
  <c r="G10" i="18"/>
  <c r="F9" i="18"/>
  <c r="E8" i="18"/>
  <c r="D7" i="18"/>
  <c r="C6" i="18"/>
  <c r="F21" i="18"/>
  <c r="E21" i="18"/>
  <c r="D21" i="18"/>
  <c r="C21" i="18"/>
  <c r="B21" i="18"/>
  <c r="G20" i="18"/>
  <c r="E20" i="18"/>
  <c r="D20" i="18"/>
  <c r="C20" i="18"/>
  <c r="B20" i="18"/>
  <c r="G19" i="18"/>
  <c r="F19" i="18"/>
  <c r="D19" i="18"/>
  <c r="C19" i="18"/>
  <c r="B19" i="18"/>
  <c r="G18" i="18"/>
  <c r="F18" i="18"/>
  <c r="E18" i="18"/>
  <c r="C18" i="18"/>
  <c r="B18" i="18"/>
  <c r="G17" i="18"/>
  <c r="F17" i="18"/>
  <c r="E17" i="18"/>
  <c r="D17" i="18"/>
  <c r="B17" i="18"/>
  <c r="G16" i="18"/>
  <c r="F16" i="18"/>
  <c r="E16" i="18"/>
  <c r="D16" i="18"/>
  <c r="C16" i="18"/>
  <c r="B6" i="18"/>
  <c r="D6" i="18"/>
  <c r="E6" i="18"/>
  <c r="F6" i="18"/>
  <c r="G6" i="18"/>
  <c r="B7" i="18"/>
  <c r="C7" i="18"/>
  <c r="E7" i="18"/>
  <c r="F7" i="18"/>
  <c r="G7" i="18"/>
  <c r="B8" i="18"/>
  <c r="C8" i="18"/>
  <c r="D8" i="18"/>
  <c r="F8" i="18"/>
  <c r="G8" i="18"/>
  <c r="B9" i="18"/>
  <c r="C9" i="18"/>
  <c r="D9" i="18"/>
  <c r="E9" i="18"/>
  <c r="G9" i="18"/>
  <c r="B10" i="18"/>
  <c r="C10" i="18"/>
  <c r="D10" i="18"/>
  <c r="E10" i="18"/>
  <c r="F10" i="18"/>
  <c r="C5" i="18"/>
  <c r="D5" i="18"/>
  <c r="E5" i="18"/>
  <c r="F5" i="18"/>
  <c r="G5" i="18"/>
  <c r="B5" i="18"/>
  <c r="S7" i="10" l="1"/>
  <c r="P7" i="10"/>
  <c r="Q7" i="10"/>
  <c r="R5" i="10"/>
  <c r="S9" i="10"/>
  <c r="S5" i="10"/>
  <c r="U7" i="10"/>
  <c r="Q10" i="10"/>
  <c r="R10" i="10"/>
  <c r="R6" i="10"/>
  <c r="T10" i="10"/>
  <c r="U5" i="10"/>
  <c r="P6" i="10"/>
  <c r="U8" i="10"/>
  <c r="S6" i="10"/>
  <c r="P10" i="10"/>
  <c r="T8" i="10"/>
  <c r="P9" i="10"/>
  <c r="T5" i="10"/>
  <c r="T7" i="10"/>
  <c r="Q6" i="10"/>
  <c r="Q8" i="10"/>
  <c r="P12" i="10"/>
  <c r="S10" i="10"/>
  <c r="Q5" i="10"/>
  <c r="U6" i="10"/>
  <c r="U9" i="10"/>
  <c r="R8" i="10"/>
  <c r="S8" i="10"/>
  <c r="T9" i="10"/>
  <c r="T6" i="10"/>
  <c r="R7" i="10"/>
  <c r="P5" i="10"/>
  <c r="R9" i="10"/>
  <c r="P8" i="10"/>
  <c r="Q9" i="10"/>
  <c r="S18" i="10"/>
  <c r="Q18" i="10"/>
  <c r="S16" i="10"/>
  <c r="P19" i="10"/>
  <c r="R17" i="10"/>
  <c r="P16" i="10"/>
  <c r="P20" i="10"/>
  <c r="U20" i="10"/>
  <c r="S19" i="10"/>
  <c r="T19" i="10"/>
  <c r="Q16" i="10"/>
  <c r="U17" i="10"/>
  <c r="Q20" i="10"/>
  <c r="R20" i="10"/>
  <c r="R21" i="10"/>
  <c r="P18" i="10"/>
  <c r="R19" i="10"/>
  <c r="T17" i="10"/>
  <c r="S20" i="10"/>
  <c r="S17" i="10"/>
  <c r="T16" i="10"/>
  <c r="T18" i="10"/>
  <c r="U19" i="10"/>
  <c r="R18" i="10"/>
  <c r="T21" i="10"/>
  <c r="U16" i="10"/>
  <c r="U21" i="10"/>
  <c r="Q17" i="10"/>
  <c r="P21" i="10"/>
  <c r="Q21" i="10"/>
  <c r="P17" i="10"/>
  <c r="U18" i="10"/>
  <c r="T20" i="10"/>
  <c r="P23" i="10"/>
  <c r="R16" i="10"/>
  <c r="Q19" i="10"/>
  <c r="S21" i="10"/>
</calcChain>
</file>

<file path=xl/sharedStrings.xml><?xml version="1.0" encoding="utf-8"?>
<sst xmlns="http://schemas.openxmlformats.org/spreadsheetml/2006/main" count="537" uniqueCount="34">
  <si>
    <t>HDPE</t>
  </si>
  <si>
    <t>Other</t>
  </si>
  <si>
    <t>LDPE</t>
  </si>
  <si>
    <t>PET</t>
  </si>
  <si>
    <t>PP</t>
  </si>
  <si>
    <t>PS</t>
  </si>
  <si>
    <t>Wadaba - 20 zdj / obiekt</t>
  </si>
  <si>
    <t>Wadaba Wychudzone - 4 zdj / obiekt</t>
  </si>
  <si>
    <t>Średnia</t>
  </si>
  <si>
    <t>"+" Wychudzona zwiększa dokładność;      "-" Zmniejsza</t>
  </si>
  <si>
    <t>"=" Wadaba - Wadaba Wychudzona</t>
  </si>
  <si>
    <t xml:space="preserve">HDPE   </t>
  </si>
  <si>
    <t xml:space="preserve">LDPE   </t>
  </si>
  <si>
    <t xml:space="preserve">Other   </t>
  </si>
  <si>
    <t xml:space="preserve">PET   </t>
  </si>
  <si>
    <t xml:space="preserve"> PS</t>
  </si>
  <si>
    <t>PP vs NO PP</t>
  </si>
  <si>
    <t>NO PP</t>
  </si>
  <si>
    <t>WITH PP</t>
  </si>
  <si>
    <t>ARCHIVE ALL G RAND -----------------------------------------------------------</t>
  </si>
  <si>
    <t>ARCHIVE ALL D RAND -----------------------------------------------------------</t>
  </si>
  <si>
    <t>ARCHIVE ALL 16n RAND -----------------------------------------------------------</t>
  </si>
  <si>
    <t>Łącznie</t>
  </si>
  <si>
    <t>Wszystkie</t>
  </si>
  <si>
    <t>Uczący</t>
  </si>
  <si>
    <t>Testowy</t>
  </si>
  <si>
    <t>Testowy/Wszystkie</t>
  </si>
  <si>
    <t>h0_S_rng1</t>
  </si>
  <si>
    <t>rng 1 K 10</t>
  </si>
  <si>
    <t>PET_bot</t>
  </si>
  <si>
    <t>Misc</t>
  </si>
  <si>
    <t>avr error</t>
  </si>
  <si>
    <t>G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</si>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</sst>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" fillId="0" borderId="0" xfId="0" applyFont="1"/>
    <xf numFmtId="2" fontId="1" fillId="2" borderId="0" xfId="0" applyNumberFormat="1" applyFont="1" applyFill="1"/>
    <xf numFmtId="2" fontId="1" fillId="3" borderId="0" xfId="0" applyNumberFormat="1" applyFont="1" applyFill="1"/>
    <xf numFmtId="0" fontId="1" fillId="4" borderId="0" xfId="0" applyFont="1" applyFill="1"/>
    <xf numFmtId="0" fontId="0" fillId="5" borderId="0" xfId="0" applyNumberFormat="1" applyFill="1"/>
    <xf numFmtId="0" fontId="0" fillId="5" borderId="0" xfId="0" applyFill="1"/>
    <xf numFmtId="164" fontId="0" fillId="0" borderId="0" xfId="0" applyNumberFormat="1"/>
    <xf numFmtId="0" fontId="1" fillId="6" borderId="0" xfId="0" applyFont="1" applyFill="1"/>
    <xf numFmtId="2" fontId="1" fillId="0" borderId="0" xfId="0" applyNumberFormat="1" applyFont="1"/>
    <xf numFmtId="2" fontId="2" fillId="0" borderId="0" xfId="0" applyNumberFormat="1" applyFont="1"/>
    <xf numFmtId="0" fontId="2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FC13-90EB-4CDD-9C3C-C61C907AF928}">
  <dimension ref="A2:V11"/>
  <sheetViews>
    <sheetView zoomScale="99" zoomScaleNormal="99" workbookViewId="0">
      <selection activeCell="R11" sqref="R11"/>
    </sheetView>
  </sheetViews>
  <sheetFormatPr defaultRowHeight="15" x14ac:dyDescent="0.25"/>
  <sheetData>
    <row r="2" spans="1:22" x14ac:dyDescent="0.25">
      <c r="C2" t="s">
        <v>32</v>
      </c>
      <c r="K2" t="s">
        <v>33</v>
      </c>
    </row>
    <row r="3" spans="1:22" x14ac:dyDescent="0.25">
      <c r="B3" s="13" t="s">
        <v>0</v>
      </c>
      <c r="C3" s="13" t="s">
        <v>2</v>
      </c>
      <c r="D3" s="13" t="s">
        <v>1</v>
      </c>
      <c r="E3" s="13" t="s">
        <v>3</v>
      </c>
      <c r="F3" s="13" t="s">
        <v>4</v>
      </c>
      <c r="G3" s="13" t="s">
        <v>5</v>
      </c>
      <c r="J3" t="s">
        <v>0</v>
      </c>
      <c r="K3" t="s">
        <v>2</v>
      </c>
      <c r="L3" t="s">
        <v>1</v>
      </c>
      <c r="M3" t="s">
        <v>3</v>
      </c>
      <c r="N3" t="s">
        <v>4</v>
      </c>
      <c r="O3" t="s">
        <v>5</v>
      </c>
      <c r="Q3" t="s">
        <v>0</v>
      </c>
      <c r="R3" t="s">
        <v>2</v>
      </c>
      <c r="S3" t="s">
        <v>1</v>
      </c>
      <c r="T3" t="s">
        <v>3</v>
      </c>
      <c r="U3" t="s">
        <v>4</v>
      </c>
      <c r="V3" t="s">
        <v>5</v>
      </c>
    </row>
    <row r="4" spans="1:22" x14ac:dyDescent="0.25">
      <c r="A4" t="s">
        <v>0</v>
      </c>
      <c r="B4" s="11">
        <v>0.83399999999999996</v>
      </c>
      <c r="C4" s="12">
        <v>2.4E-2</v>
      </c>
      <c r="D4" s="12">
        <v>1.0999999999999999E-2</v>
      </c>
      <c r="E4" s="12">
        <v>3.3000000000000002E-2</v>
      </c>
      <c r="F4" s="12">
        <v>2.1999999999999999E-2</v>
      </c>
      <c r="G4" s="12">
        <v>7.6999999999999999E-2</v>
      </c>
      <c r="I4" t="s">
        <v>0</v>
      </c>
      <c r="J4" s="11">
        <v>0.64499999999999991</v>
      </c>
      <c r="K4" s="12">
        <v>1.0999999999999999E-2</v>
      </c>
      <c r="L4" s="12">
        <v>2.1999999999999999E-2</v>
      </c>
      <c r="M4" s="12">
        <v>8.7999999999999995E-2</v>
      </c>
      <c r="N4" s="12">
        <v>3.3000000000000002E-2</v>
      </c>
      <c r="O4" s="12">
        <v>0.20099999999999998</v>
      </c>
      <c r="Q4" s="11">
        <f>B4-J4</f>
        <v>0.18900000000000006</v>
      </c>
      <c r="R4" s="1">
        <f t="shared" ref="R4:V10" si="0">C4-K4</f>
        <v>1.3000000000000001E-2</v>
      </c>
      <c r="S4" s="1">
        <f t="shared" si="0"/>
        <v>-1.0999999999999999E-2</v>
      </c>
      <c r="T4" s="1">
        <f t="shared" si="0"/>
        <v>-5.4999999999999993E-2</v>
      </c>
      <c r="U4" s="1">
        <f t="shared" si="0"/>
        <v>-1.1000000000000003E-2</v>
      </c>
      <c r="V4" s="1">
        <f t="shared" si="0"/>
        <v>-0.12399999999999999</v>
      </c>
    </row>
    <row r="5" spans="1:22" x14ac:dyDescent="0.25">
      <c r="A5" t="s">
        <v>2</v>
      </c>
      <c r="B5" s="12">
        <v>2.6000000000000002E-2</v>
      </c>
      <c r="C5" s="11">
        <v>0.78700000000000003</v>
      </c>
      <c r="D5" s="12">
        <v>5.2000000000000005E-2</v>
      </c>
      <c r="E5" s="12">
        <v>6.4000000000000001E-2</v>
      </c>
      <c r="F5" s="12">
        <v>5.3000000000000005E-2</v>
      </c>
      <c r="G5" s="12">
        <v>2.7000000000000003E-2</v>
      </c>
      <c r="I5" t="s">
        <v>2</v>
      </c>
      <c r="J5" s="12">
        <v>0.05</v>
      </c>
      <c r="K5" s="11">
        <v>0.5159999999999999</v>
      </c>
      <c r="L5" s="12">
        <v>0.27900000000000003</v>
      </c>
      <c r="M5" s="12">
        <v>0.10500000000000001</v>
      </c>
      <c r="N5" s="12">
        <v>2.7000000000000003E-2</v>
      </c>
      <c r="O5" s="12">
        <v>2.7000000000000003E-2</v>
      </c>
      <c r="Q5" s="1">
        <f t="shared" ref="Q5:Q11" si="1">B5-J5</f>
        <v>-2.4E-2</v>
      </c>
      <c r="R5" s="11">
        <f t="shared" si="0"/>
        <v>0.27100000000000013</v>
      </c>
      <c r="S5" s="1">
        <f t="shared" si="0"/>
        <v>-0.22700000000000004</v>
      </c>
      <c r="T5" s="1">
        <f t="shared" si="0"/>
        <v>-4.1000000000000009E-2</v>
      </c>
      <c r="U5" s="1">
        <f t="shared" si="0"/>
        <v>2.6000000000000002E-2</v>
      </c>
      <c r="V5" s="1">
        <f t="shared" si="0"/>
        <v>0</v>
      </c>
    </row>
    <row r="6" spans="1:22" x14ac:dyDescent="0.25">
      <c r="A6" t="s">
        <v>1</v>
      </c>
      <c r="B6" s="12">
        <v>3.2000000000000001E-2</v>
      </c>
      <c r="C6" s="12">
        <v>0.29399999999999998</v>
      </c>
      <c r="D6" s="11">
        <v>0.372</v>
      </c>
      <c r="E6" s="12">
        <v>5.2000000000000005E-2</v>
      </c>
      <c r="F6" s="12">
        <v>7.4999999999999997E-2</v>
      </c>
      <c r="G6" s="12">
        <v>0.16999999999999998</v>
      </c>
      <c r="I6" t="s">
        <v>1</v>
      </c>
      <c r="J6" s="12">
        <v>5.2000000000000005E-2</v>
      </c>
      <c r="K6" s="12">
        <v>0.30399999999999999</v>
      </c>
      <c r="L6" s="11">
        <v>0.39400000000000002</v>
      </c>
      <c r="M6" s="12">
        <v>0.16900000000000001</v>
      </c>
      <c r="N6" s="12">
        <v>3.3000000000000002E-2</v>
      </c>
      <c r="O6" s="12">
        <v>4.3999999999999997E-2</v>
      </c>
      <c r="Q6" s="1">
        <f t="shared" si="1"/>
        <v>-2.0000000000000004E-2</v>
      </c>
      <c r="R6" s="1">
        <f t="shared" si="0"/>
        <v>-1.0000000000000009E-2</v>
      </c>
      <c r="S6" s="11">
        <f t="shared" si="0"/>
        <v>-2.200000000000002E-2</v>
      </c>
      <c r="T6" s="1">
        <f t="shared" si="0"/>
        <v>-0.11700000000000001</v>
      </c>
      <c r="U6" s="1">
        <f t="shared" si="0"/>
        <v>4.1999999999999996E-2</v>
      </c>
      <c r="V6" s="1">
        <f t="shared" si="0"/>
        <v>0.126</v>
      </c>
    </row>
    <row r="7" spans="1:22" x14ac:dyDescent="0.25">
      <c r="A7" t="s">
        <v>3</v>
      </c>
      <c r="B7" s="12">
        <v>0.28000000000000008</v>
      </c>
      <c r="C7" s="12">
        <v>0.12800000000000003</v>
      </c>
      <c r="D7" s="12">
        <v>0.10200000000000001</v>
      </c>
      <c r="E7" s="11">
        <v>0.36699999999999999</v>
      </c>
      <c r="F7" s="12">
        <v>8.0000000000000002E-3</v>
      </c>
      <c r="G7" s="12">
        <v>0.11499999999999999</v>
      </c>
      <c r="I7" t="s">
        <v>3</v>
      </c>
      <c r="J7" s="12">
        <v>0.12600000000000006</v>
      </c>
      <c r="K7" s="12">
        <v>0.13100000000000001</v>
      </c>
      <c r="L7" s="12">
        <v>0.12600000000000003</v>
      </c>
      <c r="M7" s="11">
        <v>0.43899999999999995</v>
      </c>
      <c r="N7" s="12">
        <v>4.5000000000000005E-2</v>
      </c>
      <c r="O7" s="12">
        <v>0.13</v>
      </c>
      <c r="Q7" s="1">
        <f t="shared" si="1"/>
        <v>0.15400000000000003</v>
      </c>
      <c r="R7" s="1">
        <f t="shared" si="0"/>
        <v>-2.9999999999999749E-3</v>
      </c>
      <c r="S7" s="1">
        <f t="shared" si="0"/>
        <v>-2.4000000000000021E-2</v>
      </c>
      <c r="T7" s="11">
        <f t="shared" si="0"/>
        <v>-7.1999999999999953E-2</v>
      </c>
      <c r="U7" s="1">
        <f t="shared" si="0"/>
        <v>-3.7000000000000005E-2</v>
      </c>
      <c r="V7" s="1">
        <f t="shared" si="0"/>
        <v>-1.5000000000000013E-2</v>
      </c>
    </row>
    <row r="8" spans="1:22" x14ac:dyDescent="0.25">
      <c r="A8" t="s">
        <v>4</v>
      </c>
      <c r="B8" s="12">
        <v>0.16799999999999998</v>
      </c>
      <c r="C8" s="12">
        <v>0.31500000000000006</v>
      </c>
      <c r="D8" s="12">
        <v>0.11500000000000002</v>
      </c>
      <c r="E8" s="12">
        <v>6.0999999999999999E-2</v>
      </c>
      <c r="F8" s="11">
        <v>0.16300000000000003</v>
      </c>
      <c r="G8" s="12">
        <v>0.18000000000000002</v>
      </c>
      <c r="I8" t="s">
        <v>4</v>
      </c>
      <c r="J8" s="12">
        <v>0.15400000000000003</v>
      </c>
      <c r="K8" s="12">
        <v>0.187</v>
      </c>
      <c r="L8" s="12">
        <v>0.16199999999999998</v>
      </c>
      <c r="M8" s="12">
        <v>0.188</v>
      </c>
      <c r="N8" s="11">
        <v>8.5000000000000006E-2</v>
      </c>
      <c r="O8" s="12">
        <v>0.22700000000000001</v>
      </c>
      <c r="Q8" s="1">
        <f t="shared" si="1"/>
        <v>1.3999999999999957E-2</v>
      </c>
      <c r="R8" s="1">
        <f t="shared" si="0"/>
        <v>0.12800000000000006</v>
      </c>
      <c r="S8" s="1">
        <f t="shared" si="0"/>
        <v>-4.6999999999999958E-2</v>
      </c>
      <c r="T8" s="1">
        <f t="shared" si="0"/>
        <v>-0.127</v>
      </c>
      <c r="U8" s="11">
        <f t="shared" si="0"/>
        <v>7.8000000000000028E-2</v>
      </c>
      <c r="V8" s="1">
        <f t="shared" si="0"/>
        <v>-4.6999999999999986E-2</v>
      </c>
    </row>
    <row r="9" spans="1:22" x14ac:dyDescent="0.25">
      <c r="A9" t="s">
        <v>5</v>
      </c>
      <c r="B9" s="12">
        <v>0.189</v>
      </c>
      <c r="C9" s="12">
        <v>8.9999999999999993E-3</v>
      </c>
      <c r="D9" s="12">
        <v>8.0999999999999989E-2</v>
      </c>
      <c r="E9" s="12">
        <v>3.5999999999999997E-2</v>
      </c>
      <c r="F9" s="12">
        <v>2.7000000000000003E-2</v>
      </c>
      <c r="G9" s="11">
        <v>0.65600000000000003</v>
      </c>
      <c r="I9" t="s">
        <v>5</v>
      </c>
      <c r="J9" s="12">
        <v>0.24300000000000002</v>
      </c>
      <c r="K9" s="12">
        <v>5.4000000000000006E-2</v>
      </c>
      <c r="L9" s="12">
        <v>5.3999999999999992E-2</v>
      </c>
      <c r="M9" s="12">
        <v>0.10800000000000001</v>
      </c>
      <c r="N9" s="12">
        <v>9.8999999999999991E-2</v>
      </c>
      <c r="O9" s="11">
        <v>0.43500000000000005</v>
      </c>
      <c r="Q9" s="1">
        <f t="shared" si="1"/>
        <v>-5.400000000000002E-2</v>
      </c>
      <c r="R9" s="1">
        <f t="shared" si="0"/>
        <v>-4.5000000000000005E-2</v>
      </c>
      <c r="S9" s="1">
        <f t="shared" si="0"/>
        <v>2.6999999999999996E-2</v>
      </c>
      <c r="T9" s="1">
        <f t="shared" si="0"/>
        <v>-7.2000000000000008E-2</v>
      </c>
      <c r="U9" s="1">
        <f t="shared" si="0"/>
        <v>-7.1999999999999981E-2</v>
      </c>
      <c r="V9" s="11">
        <f t="shared" si="0"/>
        <v>0.22099999999999997</v>
      </c>
    </row>
    <row r="10" spans="1:22" x14ac:dyDescent="0.25">
      <c r="A10" t="s">
        <v>31</v>
      </c>
      <c r="B10" s="12">
        <v>0.13900000000000001</v>
      </c>
      <c r="C10" s="12">
        <v>0.154</v>
      </c>
      <c r="D10" s="12">
        <v>7.2200000000000014E-2</v>
      </c>
      <c r="E10" s="12">
        <v>4.9200000000000001E-2</v>
      </c>
      <c r="F10" s="12">
        <v>3.6999999999999998E-2</v>
      </c>
      <c r="G10" s="12">
        <v>0.11380000000000001</v>
      </c>
      <c r="I10" t="s">
        <v>31</v>
      </c>
      <c r="J10" s="12">
        <v>0.12500000000000006</v>
      </c>
      <c r="K10" s="12">
        <v>0.13739999999999999</v>
      </c>
      <c r="L10" s="12">
        <v>0.12859999999999999</v>
      </c>
      <c r="M10" s="12">
        <v>0.13159999999999999</v>
      </c>
      <c r="N10" s="12">
        <v>4.7400000000000005E-2</v>
      </c>
      <c r="O10" s="12">
        <v>0.12580000000000002</v>
      </c>
      <c r="Q10" s="1">
        <f t="shared" si="1"/>
        <v>1.3999999999999957E-2</v>
      </c>
      <c r="R10" s="1">
        <f t="shared" si="0"/>
        <v>1.6600000000000004E-2</v>
      </c>
      <c r="S10" s="1">
        <f t="shared" si="0"/>
        <v>-5.6399999999999978E-2</v>
      </c>
      <c r="T10" s="1">
        <f t="shared" si="0"/>
        <v>-8.2400000000000001E-2</v>
      </c>
      <c r="U10" s="1">
        <f t="shared" si="0"/>
        <v>-1.0400000000000006E-2</v>
      </c>
      <c r="V10" s="1">
        <f t="shared" si="0"/>
        <v>-1.2000000000000011E-2</v>
      </c>
    </row>
    <row r="11" spans="1:22" x14ac:dyDescent="0.25">
      <c r="B11" s="11">
        <v>0.52900000000000003</v>
      </c>
      <c r="C11" s="12"/>
      <c r="D11" s="12"/>
      <c r="E11" s="12"/>
      <c r="F11" s="12"/>
      <c r="G11" s="12"/>
      <c r="J11" s="11">
        <v>0.41900000000000004</v>
      </c>
      <c r="K11" s="1"/>
      <c r="L11" s="1"/>
      <c r="M11" s="1"/>
      <c r="N11" s="1"/>
      <c r="O11" s="1"/>
      <c r="Q11" s="11">
        <f t="shared" si="1"/>
        <v>0.10999999999999999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1D1CA-10B2-4B02-920C-649DFC046371}">
  <dimension ref="A1:BZ45"/>
  <sheetViews>
    <sheetView tabSelected="1" workbookViewId="0">
      <selection activeCell="B20" sqref="B20"/>
    </sheetView>
  </sheetViews>
  <sheetFormatPr defaultRowHeight="15" x14ac:dyDescent="0.25"/>
  <sheetData>
    <row r="1" spans="1:78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</row>
    <row r="2" spans="1:78" x14ac:dyDescent="0.25">
      <c r="A2" t="s">
        <v>0</v>
      </c>
      <c r="B2" s="11">
        <f>AVERAGE(I2,P2,W2,AD2,AK2,AS2,AZ2,BG2,BN2,BU2)</f>
        <v>0.93</v>
      </c>
      <c r="C2" s="12">
        <f>AVERAGE(J2,Q2,X2,AE2,AL2,AT2,BA2,BH2,BO2,BV5)</f>
        <v>1.3000000000000001E-2</v>
      </c>
      <c r="D2" s="12">
        <f>AVERAGE(K2,R2,Y2,AF2,AM2,AU2,BB2,BI2,BP2,BW5)</f>
        <v>7.000000000000001E-3</v>
      </c>
      <c r="E2" s="12">
        <f>AVERAGE(L2,S2,Z2,AG2,AN2,AV2,BC2,BJ2,BQ2,BX5)</f>
        <v>8.9999999999999993E-3</v>
      </c>
      <c r="F2" s="12">
        <f>AVERAGE(M2,T2,AA2,AH2,AO2,AW2,BD2,BK2,BR2,BY5)</f>
        <v>1.4999999999999999E-2</v>
      </c>
      <c r="G2" s="12">
        <f>AVERAGE(N2,U2,AB2,AI2,AP2,AX2,BE2,BL2,BS2,BZ5)</f>
        <v>2.8000000000000004E-2</v>
      </c>
      <c r="I2">
        <v>0.89</v>
      </c>
      <c r="J2">
        <v>0.01</v>
      </c>
      <c r="K2">
        <v>0.01</v>
      </c>
      <c r="L2">
        <v>0.02</v>
      </c>
      <c r="M2">
        <v>0.02</v>
      </c>
      <c r="N2">
        <v>0.04</v>
      </c>
      <c r="P2">
        <v>0.91</v>
      </c>
      <c r="Q2">
        <v>0.03</v>
      </c>
      <c r="R2">
        <v>0</v>
      </c>
      <c r="S2">
        <v>0.03</v>
      </c>
      <c r="T2">
        <v>0.01</v>
      </c>
      <c r="U2">
        <v>0.03</v>
      </c>
      <c r="W2">
        <v>0.94</v>
      </c>
      <c r="X2">
        <v>0.01</v>
      </c>
      <c r="Y2">
        <v>0.01</v>
      </c>
      <c r="Z2">
        <v>0</v>
      </c>
      <c r="AA2">
        <v>0.01</v>
      </c>
      <c r="AB2">
        <v>0.03</v>
      </c>
      <c r="AD2">
        <v>0.94</v>
      </c>
      <c r="AE2">
        <v>0.03</v>
      </c>
      <c r="AF2">
        <v>0.01</v>
      </c>
      <c r="AG2">
        <v>0</v>
      </c>
      <c r="AH2">
        <v>0</v>
      </c>
      <c r="AI2">
        <v>0.03</v>
      </c>
      <c r="AK2">
        <v>0.93</v>
      </c>
      <c r="AL2">
        <v>0.03</v>
      </c>
      <c r="AM2">
        <v>0.01</v>
      </c>
      <c r="AN2">
        <v>0</v>
      </c>
      <c r="AO2">
        <v>0</v>
      </c>
      <c r="AP2">
        <v>0.04</v>
      </c>
      <c r="AQ2">
        <v>0</v>
      </c>
      <c r="AR2">
        <v>0</v>
      </c>
      <c r="AS2">
        <v>0.96</v>
      </c>
      <c r="AT2">
        <v>0</v>
      </c>
      <c r="AU2">
        <v>0</v>
      </c>
      <c r="AV2">
        <v>0</v>
      </c>
      <c r="AW2">
        <v>0.04</v>
      </c>
      <c r="AX2">
        <v>0</v>
      </c>
      <c r="AY2">
        <v>0</v>
      </c>
      <c r="AZ2">
        <v>0.95</v>
      </c>
      <c r="BA2">
        <v>0.01</v>
      </c>
      <c r="BB2">
        <v>0</v>
      </c>
      <c r="BC2">
        <v>0</v>
      </c>
      <c r="BD2">
        <v>0</v>
      </c>
      <c r="BE2">
        <v>0.04</v>
      </c>
      <c r="BF2">
        <v>0</v>
      </c>
      <c r="BG2">
        <v>0.94</v>
      </c>
      <c r="BH2">
        <v>0</v>
      </c>
      <c r="BI2">
        <v>0.01</v>
      </c>
      <c r="BJ2">
        <v>0</v>
      </c>
      <c r="BK2">
        <v>0</v>
      </c>
      <c r="BL2">
        <v>0.05</v>
      </c>
      <c r="BM2">
        <v>0</v>
      </c>
      <c r="BN2">
        <v>0.91</v>
      </c>
      <c r="BO2">
        <v>0</v>
      </c>
      <c r="BP2">
        <v>0.01</v>
      </c>
      <c r="BQ2">
        <v>0.03</v>
      </c>
      <c r="BR2">
        <v>0.04</v>
      </c>
      <c r="BS2">
        <v>0.01</v>
      </c>
      <c r="BT2">
        <v>0</v>
      </c>
      <c r="BU2">
        <v>0.93</v>
      </c>
    </row>
    <row r="3" spans="1:78" x14ac:dyDescent="0.25">
      <c r="A3" t="s">
        <v>2</v>
      </c>
      <c r="B3" s="12">
        <f t="shared" ref="B3:B9" si="0">AVERAGE(I3,P3,W3,AD3,AK3,AS3,AZ3,BG3,BN3,BU3)</f>
        <v>1.0999999999999999E-2</v>
      </c>
      <c r="C3" s="11">
        <f>AVERAGE(J3,Q3,X3,AE3,AL3,AT3,BA3,BH3,BO3,BV6)</f>
        <v>0.88099999999999989</v>
      </c>
      <c r="D3" s="12">
        <f>AVERAGE(K3,R3,Y3,AF3,AM3,AU3,BB3,BI3,BP3,BW6)</f>
        <v>7.000000000000001E-3</v>
      </c>
      <c r="E3" s="12">
        <f>AVERAGE(L3,S3,Z3,AG3,AN3,AV3,BC3,BJ3,BQ3,BX6)</f>
        <v>3.7999999999999999E-2</v>
      </c>
      <c r="F3" s="12">
        <f>AVERAGE(M3,T3,AA3,AH3,AO3,AW3,BD3,BK3,BR3,BY6)</f>
        <v>3.1000000000000007E-2</v>
      </c>
      <c r="G3" s="12">
        <f>AVERAGE(N3,U3,AB3,AI3,AP3,AX3,BE3,BL3,BS3,BZ6)</f>
        <v>2.4E-2</v>
      </c>
      <c r="I3">
        <v>0.01</v>
      </c>
      <c r="J3">
        <v>0.88</v>
      </c>
      <c r="K3">
        <v>0.03</v>
      </c>
      <c r="L3">
        <v>0.04</v>
      </c>
      <c r="M3">
        <v>0</v>
      </c>
      <c r="N3">
        <v>0.03</v>
      </c>
      <c r="P3">
        <v>0.01</v>
      </c>
      <c r="Q3">
        <v>0.88</v>
      </c>
      <c r="R3">
        <v>0</v>
      </c>
      <c r="S3">
        <v>0.06</v>
      </c>
      <c r="T3">
        <v>0.01</v>
      </c>
      <c r="U3">
        <v>0.03</v>
      </c>
      <c r="W3">
        <v>0.01</v>
      </c>
      <c r="X3">
        <v>0.87</v>
      </c>
      <c r="Y3">
        <v>0</v>
      </c>
      <c r="Z3">
        <v>0.06</v>
      </c>
      <c r="AA3">
        <v>0.03</v>
      </c>
      <c r="AB3">
        <v>0.03</v>
      </c>
      <c r="AD3">
        <v>0</v>
      </c>
      <c r="AE3">
        <v>0.93</v>
      </c>
      <c r="AF3">
        <v>0</v>
      </c>
      <c r="AG3">
        <v>0.03</v>
      </c>
      <c r="AH3">
        <v>0.03</v>
      </c>
      <c r="AI3">
        <v>0.01</v>
      </c>
      <c r="AK3">
        <v>0.01</v>
      </c>
      <c r="AL3">
        <v>0.91</v>
      </c>
      <c r="AM3">
        <v>0</v>
      </c>
      <c r="AN3">
        <v>0</v>
      </c>
      <c r="AO3">
        <v>0.04</v>
      </c>
      <c r="AP3">
        <v>0.03</v>
      </c>
      <c r="AQ3">
        <v>0.03</v>
      </c>
      <c r="AR3">
        <v>0</v>
      </c>
      <c r="AS3">
        <v>0.01</v>
      </c>
      <c r="AT3">
        <v>0.84</v>
      </c>
      <c r="AU3">
        <v>0</v>
      </c>
      <c r="AV3">
        <v>7.0000000000000007E-2</v>
      </c>
      <c r="AW3">
        <v>0.04</v>
      </c>
      <c r="AX3">
        <v>0.03</v>
      </c>
      <c r="AY3">
        <v>0</v>
      </c>
      <c r="AZ3">
        <v>0.03</v>
      </c>
      <c r="BA3">
        <v>0.88</v>
      </c>
      <c r="BB3">
        <v>0</v>
      </c>
      <c r="BC3">
        <v>0.01</v>
      </c>
      <c r="BD3">
        <v>0.04</v>
      </c>
      <c r="BE3">
        <v>0.03</v>
      </c>
      <c r="BF3">
        <v>0</v>
      </c>
      <c r="BG3">
        <v>0.01</v>
      </c>
      <c r="BH3">
        <v>0.88</v>
      </c>
      <c r="BI3">
        <v>0.01</v>
      </c>
      <c r="BJ3">
        <v>0.01</v>
      </c>
      <c r="BK3">
        <v>0.06</v>
      </c>
      <c r="BL3">
        <v>0.01</v>
      </c>
      <c r="BM3">
        <v>0</v>
      </c>
      <c r="BN3">
        <v>0.01</v>
      </c>
      <c r="BO3">
        <v>0.87</v>
      </c>
      <c r="BP3">
        <v>0</v>
      </c>
      <c r="BQ3">
        <v>0.06</v>
      </c>
      <c r="BR3">
        <v>0.03</v>
      </c>
      <c r="BS3">
        <v>0.03</v>
      </c>
      <c r="BT3">
        <v>0</v>
      </c>
      <c r="BU3">
        <v>0.01</v>
      </c>
    </row>
    <row r="4" spans="1:78" x14ac:dyDescent="0.25">
      <c r="A4" t="s">
        <v>1</v>
      </c>
      <c r="B4" s="12">
        <f t="shared" si="0"/>
        <v>1.3000000000000001E-2</v>
      </c>
      <c r="C4" s="12">
        <f>AVERAGE(J4,Q4,X4,AE4,AL4,AT4,BA4,BH4,BO4,BV7)</f>
        <v>0.17799999999999999</v>
      </c>
      <c r="D4" s="11">
        <f>AVERAGE(K4,R4,Y4,AF4,AM4,AU4,BB4,BI4,BP4,BW7)</f>
        <v>0.69000000000000006</v>
      </c>
      <c r="E4" s="12">
        <f>AVERAGE(L4,S4,Z4,AG4,AN4,AV4,BC4,BJ4,BQ4,BX7)</f>
        <v>8.0000000000000002E-3</v>
      </c>
      <c r="F4" s="12">
        <f>AVERAGE(M4,T4,AA4,AH4,AO4,AW4,BD4,BK4,BR4,BY7)</f>
        <v>1.6E-2</v>
      </c>
      <c r="G4" s="12">
        <f>AVERAGE(N4,U4,AB4,AI4,AP4,AX4,BE4,BL4,BS4,BZ7)</f>
        <v>8.7999999999999995E-2</v>
      </c>
      <c r="I4">
        <v>0.01</v>
      </c>
      <c r="J4">
        <v>0.16</v>
      </c>
      <c r="K4">
        <v>0.76</v>
      </c>
      <c r="L4">
        <v>0</v>
      </c>
      <c r="M4">
        <v>0.02</v>
      </c>
      <c r="N4">
        <v>0.04</v>
      </c>
      <c r="P4">
        <v>0.01</v>
      </c>
      <c r="Q4">
        <v>0.15</v>
      </c>
      <c r="R4">
        <v>0.69</v>
      </c>
      <c r="S4">
        <v>0</v>
      </c>
      <c r="T4">
        <v>0.04</v>
      </c>
      <c r="U4">
        <v>0.11</v>
      </c>
      <c r="W4">
        <v>0.01</v>
      </c>
      <c r="X4">
        <v>0.2</v>
      </c>
      <c r="Y4">
        <v>0.64</v>
      </c>
      <c r="Z4">
        <v>0.01</v>
      </c>
      <c r="AA4">
        <v>0.02</v>
      </c>
      <c r="AB4">
        <v>0.11</v>
      </c>
      <c r="AD4">
        <v>0.01</v>
      </c>
      <c r="AE4">
        <v>0.14000000000000001</v>
      </c>
      <c r="AF4">
        <v>0.77</v>
      </c>
      <c r="AG4">
        <v>0</v>
      </c>
      <c r="AH4">
        <v>0.01</v>
      </c>
      <c r="AI4">
        <v>0.06</v>
      </c>
      <c r="AK4">
        <v>0.02</v>
      </c>
      <c r="AL4">
        <v>0.2</v>
      </c>
      <c r="AM4">
        <v>0.64</v>
      </c>
      <c r="AN4">
        <v>0.04</v>
      </c>
      <c r="AO4">
        <v>0.01</v>
      </c>
      <c r="AP4">
        <v>0.08</v>
      </c>
      <c r="AQ4">
        <v>0.08</v>
      </c>
      <c r="AR4">
        <v>0</v>
      </c>
      <c r="AS4">
        <v>0.02</v>
      </c>
      <c r="AT4">
        <v>0.16</v>
      </c>
      <c r="AU4">
        <v>0.69</v>
      </c>
      <c r="AV4">
        <v>0.01</v>
      </c>
      <c r="AW4">
        <v>0.02</v>
      </c>
      <c r="AX4">
        <v>0.08</v>
      </c>
      <c r="AY4">
        <v>0</v>
      </c>
      <c r="AZ4">
        <v>0.02</v>
      </c>
      <c r="BA4">
        <v>0.22</v>
      </c>
      <c r="BB4">
        <v>0.65</v>
      </c>
      <c r="BC4">
        <v>0</v>
      </c>
      <c r="BD4">
        <v>0</v>
      </c>
      <c r="BE4">
        <v>0.11</v>
      </c>
      <c r="BF4">
        <v>0</v>
      </c>
      <c r="BG4">
        <v>0.01</v>
      </c>
      <c r="BH4">
        <v>0.2</v>
      </c>
      <c r="BI4">
        <v>0.66</v>
      </c>
      <c r="BJ4">
        <v>0</v>
      </c>
      <c r="BK4">
        <v>0.02</v>
      </c>
      <c r="BL4">
        <v>0.11</v>
      </c>
      <c r="BM4">
        <v>0</v>
      </c>
      <c r="BN4">
        <v>0</v>
      </c>
      <c r="BO4">
        <v>0.16</v>
      </c>
      <c r="BP4">
        <v>0.74</v>
      </c>
      <c r="BQ4">
        <v>0.01</v>
      </c>
      <c r="BR4">
        <v>0.01</v>
      </c>
      <c r="BS4">
        <v>7.0000000000000007E-2</v>
      </c>
      <c r="BT4">
        <v>0</v>
      </c>
      <c r="BU4">
        <v>0.02</v>
      </c>
    </row>
    <row r="5" spans="1:78" x14ac:dyDescent="0.25">
      <c r="A5" t="s">
        <v>3</v>
      </c>
      <c r="B5" s="12">
        <f t="shared" si="0"/>
        <v>0.23799999999999999</v>
      </c>
      <c r="C5" s="12">
        <f>AVERAGE(J5,Q5,X5,AE5,AL5,AT5,BA5,BH5,BO5,BV8)</f>
        <v>0.11300000000000002</v>
      </c>
      <c r="D5" s="12">
        <f>AVERAGE(K5,R5,Y5,AF5,AM5,AU5,BB5,BI5,BP5,BW8)</f>
        <v>7.4999999999999997E-2</v>
      </c>
      <c r="E5" s="11">
        <f>AVERAGE(L5,S5,Z5,AG5,AN5,AV5,BC5,BJ5,BQ5,BX8)</f>
        <v>0.438</v>
      </c>
      <c r="F5" s="12">
        <f>AVERAGE(M5,T5,AA5,AH5,AO5,AW5,BD5,BK5,BR5,BY8)</f>
        <v>1.6E-2</v>
      </c>
      <c r="G5" s="12">
        <f>AVERAGE(N5,U5,AB5,AI5,AP5,AX5,BE5,BL5,BS5,BZ8)</f>
        <v>0.121</v>
      </c>
      <c r="I5">
        <v>0.24</v>
      </c>
      <c r="J5">
        <v>0.11</v>
      </c>
      <c r="K5">
        <v>0.11</v>
      </c>
      <c r="L5">
        <v>0.43</v>
      </c>
      <c r="M5">
        <v>0.02</v>
      </c>
      <c r="N5">
        <v>0.1</v>
      </c>
      <c r="P5">
        <v>0.25</v>
      </c>
      <c r="Q5">
        <v>0.11</v>
      </c>
      <c r="R5">
        <v>0.06</v>
      </c>
      <c r="S5">
        <v>0.43</v>
      </c>
      <c r="T5">
        <v>0.02</v>
      </c>
      <c r="U5">
        <v>0.13</v>
      </c>
      <c r="W5">
        <v>0.23</v>
      </c>
      <c r="X5">
        <v>0.11</v>
      </c>
      <c r="Y5">
        <v>7.0000000000000007E-2</v>
      </c>
      <c r="Z5">
        <v>0.44</v>
      </c>
      <c r="AA5">
        <v>0.02</v>
      </c>
      <c r="AB5">
        <v>0.13</v>
      </c>
      <c r="AD5">
        <v>0.23</v>
      </c>
      <c r="AE5">
        <v>0.11</v>
      </c>
      <c r="AF5">
        <v>7.0000000000000007E-2</v>
      </c>
      <c r="AG5">
        <v>0.47</v>
      </c>
      <c r="AH5">
        <v>0.01</v>
      </c>
      <c r="AI5">
        <v>0.11</v>
      </c>
      <c r="AK5">
        <v>0.25</v>
      </c>
      <c r="AL5">
        <v>0.14000000000000001</v>
      </c>
      <c r="AM5">
        <v>7.0000000000000007E-2</v>
      </c>
      <c r="AN5">
        <v>0.42</v>
      </c>
      <c r="AO5">
        <v>0.01</v>
      </c>
      <c r="AP5">
        <v>0.11</v>
      </c>
      <c r="AQ5">
        <v>0.13</v>
      </c>
      <c r="AR5">
        <v>0</v>
      </c>
      <c r="AS5">
        <v>0.26</v>
      </c>
      <c r="AT5">
        <v>0.1</v>
      </c>
      <c r="AU5">
        <v>0.09</v>
      </c>
      <c r="AV5">
        <v>0.41</v>
      </c>
      <c r="AW5">
        <v>0.02</v>
      </c>
      <c r="AX5">
        <v>0.13</v>
      </c>
      <c r="AY5">
        <v>0</v>
      </c>
      <c r="AZ5">
        <v>0.23</v>
      </c>
      <c r="BA5">
        <v>0.11</v>
      </c>
      <c r="BB5">
        <v>7.0000000000000007E-2</v>
      </c>
      <c r="BC5">
        <v>0.46</v>
      </c>
      <c r="BD5">
        <v>0.02</v>
      </c>
      <c r="BE5">
        <v>0.12</v>
      </c>
      <c r="BF5">
        <v>0</v>
      </c>
      <c r="BG5">
        <v>0.23</v>
      </c>
      <c r="BH5">
        <v>0.11</v>
      </c>
      <c r="BI5">
        <v>0.08</v>
      </c>
      <c r="BJ5">
        <v>0.43</v>
      </c>
      <c r="BK5">
        <v>0.02</v>
      </c>
      <c r="BL5">
        <v>0.12</v>
      </c>
      <c r="BM5">
        <v>0</v>
      </c>
      <c r="BN5">
        <v>0.22</v>
      </c>
      <c r="BO5">
        <v>0.12</v>
      </c>
      <c r="BP5">
        <v>0.08</v>
      </c>
      <c r="BQ5">
        <v>0.46</v>
      </c>
      <c r="BR5">
        <v>0.01</v>
      </c>
      <c r="BS5">
        <v>0.11</v>
      </c>
      <c r="BT5">
        <v>0</v>
      </c>
      <c r="BU5">
        <v>0.24</v>
      </c>
      <c r="BV5">
        <v>0.01</v>
      </c>
      <c r="BW5">
        <v>0.01</v>
      </c>
      <c r="BX5">
        <v>0.01</v>
      </c>
      <c r="BY5">
        <v>0.03</v>
      </c>
      <c r="BZ5">
        <v>0.01</v>
      </c>
    </row>
    <row r="6" spans="1:78" x14ac:dyDescent="0.25">
      <c r="A6" t="s">
        <v>4</v>
      </c>
      <c r="B6" s="12">
        <f t="shared" si="0"/>
        <v>0.15099999999999997</v>
      </c>
      <c r="C6" s="12">
        <f>AVERAGE(J6,Q6,X6,AE6,AL6,AT6,BA6,BH6,BO6,BV9)</f>
        <v>0.30499999999999999</v>
      </c>
      <c r="D6" s="12">
        <f>AVERAGE(K6,R6,Y6,AF6,AM6,AU6,BB6,BI6,BP6,BW9)</f>
        <v>0.11600000000000002</v>
      </c>
      <c r="E6" s="12">
        <f>AVERAGE(L6,S6,Z6,AG6,AN6,AV6,BC6,BJ6,BQ6,BX9)</f>
        <v>5.3000000000000005E-2</v>
      </c>
      <c r="F6" s="11">
        <f>AVERAGE(M6,T6,AA6,AH6,AO6,AW6,BD6,BK6,BR6,BY9)</f>
        <v>0.20800000000000002</v>
      </c>
      <c r="G6" s="12">
        <f>AVERAGE(N6,U6,AB6,AI6,AP6,AX6,BE6,BL6,BS6,BZ9)</f>
        <v>0.16799999999999998</v>
      </c>
      <c r="I6">
        <v>0.15</v>
      </c>
      <c r="J6">
        <v>0.31</v>
      </c>
      <c r="K6">
        <v>0.15</v>
      </c>
      <c r="L6">
        <v>0.04</v>
      </c>
      <c r="M6">
        <v>0.17</v>
      </c>
      <c r="N6">
        <v>0.19</v>
      </c>
      <c r="P6">
        <v>0.15</v>
      </c>
      <c r="Q6">
        <v>0.28999999999999998</v>
      </c>
      <c r="R6">
        <v>0.14000000000000001</v>
      </c>
      <c r="S6">
        <v>0.06</v>
      </c>
      <c r="T6">
        <v>0.21</v>
      </c>
      <c r="U6">
        <v>0.15</v>
      </c>
      <c r="W6">
        <v>0.14000000000000001</v>
      </c>
      <c r="X6">
        <v>0.31</v>
      </c>
      <c r="Y6">
        <v>0.09</v>
      </c>
      <c r="Z6">
        <v>0.06</v>
      </c>
      <c r="AA6">
        <v>0.22</v>
      </c>
      <c r="AB6">
        <v>0.18</v>
      </c>
      <c r="AD6">
        <v>0.15</v>
      </c>
      <c r="AE6">
        <v>0.31</v>
      </c>
      <c r="AF6">
        <v>0.13</v>
      </c>
      <c r="AG6">
        <v>0.06</v>
      </c>
      <c r="AH6">
        <v>0.18</v>
      </c>
      <c r="AI6">
        <v>0.17</v>
      </c>
      <c r="AK6">
        <v>0.14000000000000001</v>
      </c>
      <c r="AL6">
        <v>0.32</v>
      </c>
      <c r="AM6">
        <v>0.1</v>
      </c>
      <c r="AN6">
        <v>0.06</v>
      </c>
      <c r="AO6">
        <v>0.22</v>
      </c>
      <c r="AP6">
        <v>0.16</v>
      </c>
      <c r="AQ6">
        <v>0.17</v>
      </c>
      <c r="AR6">
        <v>0</v>
      </c>
      <c r="AS6">
        <v>0.15</v>
      </c>
      <c r="AT6">
        <v>0.28999999999999998</v>
      </c>
      <c r="AU6">
        <v>0.1</v>
      </c>
      <c r="AV6">
        <v>0.04</v>
      </c>
      <c r="AW6">
        <v>0.26</v>
      </c>
      <c r="AX6">
        <v>0.17</v>
      </c>
      <c r="AY6">
        <v>0</v>
      </c>
      <c r="AZ6">
        <v>0.15</v>
      </c>
      <c r="BA6">
        <v>0.32</v>
      </c>
      <c r="BB6">
        <v>0.11</v>
      </c>
      <c r="BC6">
        <v>0.06</v>
      </c>
      <c r="BD6">
        <v>0.2</v>
      </c>
      <c r="BE6">
        <v>0.16</v>
      </c>
      <c r="BF6">
        <v>0</v>
      </c>
      <c r="BG6">
        <v>0.15</v>
      </c>
      <c r="BH6">
        <v>0.3</v>
      </c>
      <c r="BI6">
        <v>0.11</v>
      </c>
      <c r="BJ6">
        <v>0.04</v>
      </c>
      <c r="BK6">
        <v>0.23</v>
      </c>
      <c r="BL6">
        <v>0.17</v>
      </c>
      <c r="BM6">
        <v>0</v>
      </c>
      <c r="BN6">
        <v>0.16</v>
      </c>
      <c r="BO6">
        <v>0.28999999999999998</v>
      </c>
      <c r="BP6">
        <v>0.13</v>
      </c>
      <c r="BQ6">
        <v>0.06</v>
      </c>
      <c r="BR6">
        <v>0.21</v>
      </c>
      <c r="BS6">
        <v>0.15</v>
      </c>
      <c r="BT6">
        <v>0</v>
      </c>
      <c r="BU6">
        <v>0.17</v>
      </c>
      <c r="BV6">
        <v>0.87</v>
      </c>
      <c r="BW6">
        <v>0.03</v>
      </c>
      <c r="BX6">
        <v>0.04</v>
      </c>
      <c r="BY6">
        <v>0.03</v>
      </c>
      <c r="BZ6">
        <v>0.01</v>
      </c>
    </row>
    <row r="7" spans="1:78" x14ac:dyDescent="0.25">
      <c r="A7" t="s">
        <v>5</v>
      </c>
      <c r="B7" s="12">
        <f t="shared" si="0"/>
        <v>0.14499999999999996</v>
      </c>
      <c r="C7" s="12">
        <f>AVERAGE(J7,Q7,X7,AE7,AL7,AT7,BA7,BH7,BO7,BV10)</f>
        <v>1E-3</v>
      </c>
      <c r="D7" s="12">
        <f>AVERAGE(K7,R7,Y7,AF7,AM7,AU7,BB7,BI7,BP7,BW10)</f>
        <v>1.7999999999999995E-2</v>
      </c>
      <c r="E7" s="12">
        <f>AVERAGE(L7,S7,Z7,AG7,AN7,AV7,BC7,BJ7,BQ7,BX10)</f>
        <v>2.7000000000000003E-2</v>
      </c>
      <c r="F7" s="12">
        <f>AVERAGE(M7,T7,AA7,AH7,AO7,AW7,BD7,BK7,BR7,BY10)</f>
        <v>1.5000000000000003E-2</v>
      </c>
      <c r="G7" s="11">
        <f>AVERAGE(N7,U7,AB7,AI7,AP7,AX7,BE7,BL7,BS7,BZ10)</f>
        <v>0.79400000000000015</v>
      </c>
      <c r="I7">
        <v>0.13</v>
      </c>
      <c r="J7">
        <v>0</v>
      </c>
      <c r="K7">
        <v>0.05</v>
      </c>
      <c r="L7">
        <v>0.02</v>
      </c>
      <c r="M7">
        <v>0.02</v>
      </c>
      <c r="N7">
        <v>0.78</v>
      </c>
      <c r="P7">
        <v>0.16</v>
      </c>
      <c r="Q7">
        <v>0</v>
      </c>
      <c r="R7">
        <v>0.02</v>
      </c>
      <c r="S7">
        <v>0.03</v>
      </c>
      <c r="T7">
        <v>0.01</v>
      </c>
      <c r="U7">
        <v>0.78</v>
      </c>
      <c r="W7">
        <v>0.13</v>
      </c>
      <c r="X7">
        <v>0</v>
      </c>
      <c r="Y7">
        <v>0.01</v>
      </c>
      <c r="Z7">
        <v>0.04</v>
      </c>
      <c r="AA7">
        <v>0.01</v>
      </c>
      <c r="AB7">
        <v>0.81</v>
      </c>
      <c r="AD7">
        <v>0.15</v>
      </c>
      <c r="AE7">
        <v>0</v>
      </c>
      <c r="AF7">
        <v>0.01</v>
      </c>
      <c r="AG7">
        <v>0.02</v>
      </c>
      <c r="AH7">
        <v>0.02</v>
      </c>
      <c r="AI7">
        <v>0.8</v>
      </c>
      <c r="AK7">
        <v>0.15</v>
      </c>
      <c r="AL7">
        <v>0</v>
      </c>
      <c r="AM7">
        <v>0</v>
      </c>
      <c r="AN7">
        <v>0.03</v>
      </c>
      <c r="AO7">
        <v>0.02</v>
      </c>
      <c r="AP7">
        <v>0.8</v>
      </c>
      <c r="AQ7">
        <v>0.79</v>
      </c>
      <c r="AR7">
        <v>0</v>
      </c>
      <c r="AS7">
        <v>0.15</v>
      </c>
      <c r="AT7">
        <v>0</v>
      </c>
      <c r="AU7">
        <v>0.01</v>
      </c>
      <c r="AV7">
        <v>0.03</v>
      </c>
      <c r="AW7">
        <v>0.02</v>
      </c>
      <c r="AX7">
        <v>0.79</v>
      </c>
      <c r="AY7">
        <v>0</v>
      </c>
      <c r="AZ7">
        <v>0.13</v>
      </c>
      <c r="BA7">
        <v>0</v>
      </c>
      <c r="BB7">
        <v>0.01</v>
      </c>
      <c r="BC7">
        <v>0.03</v>
      </c>
      <c r="BD7">
        <v>0.02</v>
      </c>
      <c r="BE7">
        <v>0.81</v>
      </c>
      <c r="BF7">
        <v>0</v>
      </c>
      <c r="BG7">
        <v>0.15</v>
      </c>
      <c r="BH7">
        <v>0.01</v>
      </c>
      <c r="BI7">
        <v>0.01</v>
      </c>
      <c r="BJ7">
        <v>0.01</v>
      </c>
      <c r="BK7">
        <v>0.01</v>
      </c>
      <c r="BL7">
        <v>0.81</v>
      </c>
      <c r="BM7">
        <v>0</v>
      </c>
      <c r="BN7">
        <v>0.16</v>
      </c>
      <c r="BO7">
        <v>0</v>
      </c>
      <c r="BP7">
        <v>0.04</v>
      </c>
      <c r="BQ7">
        <v>0.04</v>
      </c>
      <c r="BR7">
        <v>0.01</v>
      </c>
      <c r="BS7">
        <v>0.75</v>
      </c>
      <c r="BT7">
        <v>0</v>
      </c>
      <c r="BU7">
        <v>0.14000000000000001</v>
      </c>
      <c r="BV7">
        <v>0.19</v>
      </c>
      <c r="BW7">
        <v>0.66</v>
      </c>
      <c r="BX7">
        <v>0.01</v>
      </c>
      <c r="BY7">
        <v>0.01</v>
      </c>
      <c r="BZ7">
        <v>0.11</v>
      </c>
    </row>
    <row r="8" spans="1:78" x14ac:dyDescent="0.25">
      <c r="B8" s="12"/>
      <c r="C8" s="12"/>
      <c r="D8" s="12"/>
      <c r="E8" s="12"/>
      <c r="F8" s="12"/>
      <c r="G8" s="12"/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0.11</v>
      </c>
      <c r="BW8">
        <v>0.05</v>
      </c>
      <c r="BX8">
        <v>0.43</v>
      </c>
      <c r="BY8">
        <v>0.01</v>
      </c>
      <c r="BZ8">
        <v>0.15</v>
      </c>
    </row>
    <row r="9" spans="1:78" x14ac:dyDescent="0.25">
      <c r="B9" s="11">
        <f t="shared" si="0"/>
        <v>0.65700000000000014</v>
      </c>
      <c r="C9" s="12"/>
      <c r="D9" s="12"/>
      <c r="E9" s="12"/>
      <c r="F9" s="12"/>
      <c r="G9" s="12"/>
      <c r="I9">
        <v>0.65</v>
      </c>
      <c r="J9">
        <v>1052</v>
      </c>
      <c r="P9">
        <v>0.65</v>
      </c>
      <c r="Q9">
        <v>1048</v>
      </c>
      <c r="W9">
        <v>0.65</v>
      </c>
      <c r="X9">
        <v>1048</v>
      </c>
      <c r="AD9">
        <v>0.68</v>
      </c>
      <c r="AE9">
        <v>1048</v>
      </c>
      <c r="AK9">
        <v>0.65</v>
      </c>
      <c r="AL9">
        <v>1048</v>
      </c>
      <c r="AQ9">
        <v>0</v>
      </c>
      <c r="AR9">
        <v>0</v>
      </c>
      <c r="AS9">
        <v>0.66</v>
      </c>
      <c r="AT9">
        <v>1049</v>
      </c>
      <c r="AU9">
        <v>0</v>
      </c>
      <c r="AV9">
        <v>0</v>
      </c>
      <c r="AW9">
        <v>0</v>
      </c>
      <c r="AX9">
        <v>0</v>
      </c>
      <c r="AY9">
        <v>0</v>
      </c>
      <c r="AZ9">
        <v>0.66</v>
      </c>
      <c r="BA9">
        <v>1049</v>
      </c>
      <c r="BB9">
        <v>0</v>
      </c>
      <c r="BC9">
        <v>0</v>
      </c>
      <c r="BD9">
        <v>0</v>
      </c>
      <c r="BE9">
        <v>0</v>
      </c>
      <c r="BF9">
        <v>0</v>
      </c>
      <c r="BG9">
        <v>0.66</v>
      </c>
      <c r="BH9">
        <v>1050</v>
      </c>
      <c r="BI9">
        <v>0</v>
      </c>
      <c r="BJ9">
        <v>0</v>
      </c>
      <c r="BK9">
        <v>0</v>
      </c>
      <c r="BL9">
        <v>0</v>
      </c>
      <c r="BM9">
        <v>0</v>
      </c>
      <c r="BN9">
        <v>0.66</v>
      </c>
      <c r="BO9">
        <v>1051</v>
      </c>
      <c r="BP9">
        <v>0</v>
      </c>
      <c r="BQ9">
        <v>0</v>
      </c>
      <c r="BR9">
        <v>0</v>
      </c>
      <c r="BS9">
        <v>0</v>
      </c>
      <c r="BT9">
        <v>0</v>
      </c>
      <c r="BU9">
        <v>0.65</v>
      </c>
      <c r="BV9">
        <v>0.31</v>
      </c>
      <c r="BW9">
        <v>0.1</v>
      </c>
      <c r="BX9">
        <v>0.05</v>
      </c>
      <c r="BY9">
        <v>0.18</v>
      </c>
      <c r="BZ9">
        <v>0.18</v>
      </c>
    </row>
    <row r="10" spans="1:78" x14ac:dyDescent="0.25">
      <c r="B10" s="12"/>
      <c r="C10" s="12"/>
      <c r="D10" s="12"/>
      <c r="E10" s="12"/>
      <c r="F10" s="12"/>
      <c r="G10" s="12"/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0.02</v>
      </c>
      <c r="BX10">
        <v>0.02</v>
      </c>
      <c r="BY10">
        <v>0.01</v>
      </c>
      <c r="BZ10">
        <v>0.81</v>
      </c>
    </row>
    <row r="11" spans="1:78" x14ac:dyDescent="0.25">
      <c r="B11" s="12"/>
      <c r="C11" s="12"/>
      <c r="D11" s="12"/>
      <c r="E11" s="12"/>
      <c r="F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3" t="s">
        <v>0</v>
      </c>
      <c r="C12" s="13" t="s">
        <v>2</v>
      </c>
      <c r="D12" s="13" t="s">
        <v>1</v>
      </c>
      <c r="E12" s="13" t="s">
        <v>3</v>
      </c>
      <c r="F12" s="13" t="s">
        <v>4</v>
      </c>
      <c r="G12" s="13" t="s">
        <v>5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1051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A13" t="s">
        <v>0</v>
      </c>
      <c r="B13" s="11">
        <f>AVERAGE(I13,P13,W13,AD13,AK13,AS13,AZ13,BG13,BN13,BU13)</f>
        <v>0.83399999999999996</v>
      </c>
      <c r="C13" s="12">
        <f>AVERAGE(J13,Q13,X13,AE13,AL13,AT13,BA13,BH13,BO13,BV16)</f>
        <v>2.4E-2</v>
      </c>
      <c r="D13" s="12">
        <f>AVERAGE(K13,R13,Y13,AF13,AM13,AU13,BB13,BI13,BP13,BW16)</f>
        <v>1.0999999999999999E-2</v>
      </c>
      <c r="E13" s="12">
        <f>AVERAGE(L13,S13,Z13,AG13,AN13,AV13,BC13,BJ13,BQ13,BX16)</f>
        <v>3.3000000000000002E-2</v>
      </c>
      <c r="F13" s="12">
        <f>AVERAGE(M13,T13,AA13,AH13,AO13,AW13,BD13,BK13,BR13,BY16)</f>
        <v>2.1999999999999999E-2</v>
      </c>
      <c r="G13" s="12">
        <f>AVERAGE(N13,U13,AB13,AI13,AP13,AX13,BE13,BL13,BS13,BZ16)</f>
        <v>7.6999999999999999E-2</v>
      </c>
      <c r="I13">
        <v>0.88</v>
      </c>
      <c r="J13">
        <v>0.13</v>
      </c>
      <c r="K13">
        <v>0</v>
      </c>
      <c r="L13">
        <v>0</v>
      </c>
      <c r="M13">
        <v>0</v>
      </c>
      <c r="N13">
        <v>0</v>
      </c>
      <c r="P13">
        <v>0.67</v>
      </c>
      <c r="Q13">
        <v>0</v>
      </c>
      <c r="R13">
        <v>0.11</v>
      </c>
      <c r="S13">
        <v>0</v>
      </c>
      <c r="T13">
        <v>0</v>
      </c>
      <c r="U13">
        <v>0.22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0.22</v>
      </c>
      <c r="AR13">
        <v>0</v>
      </c>
      <c r="AS13">
        <v>0.78</v>
      </c>
      <c r="AT13">
        <v>0</v>
      </c>
      <c r="AU13">
        <v>0</v>
      </c>
      <c r="AV13">
        <v>0</v>
      </c>
      <c r="AW13">
        <v>0</v>
      </c>
      <c r="AX13">
        <v>0.22</v>
      </c>
      <c r="AY13">
        <v>0</v>
      </c>
      <c r="AZ13">
        <v>0.78</v>
      </c>
      <c r="BA13">
        <v>0.11</v>
      </c>
      <c r="BB13">
        <v>0</v>
      </c>
      <c r="BC13">
        <v>0.11</v>
      </c>
      <c r="BD13">
        <v>0</v>
      </c>
      <c r="BE13">
        <v>0</v>
      </c>
      <c r="BF13">
        <v>0</v>
      </c>
      <c r="BG13">
        <v>0.67</v>
      </c>
      <c r="BH13">
        <v>0</v>
      </c>
      <c r="BI13">
        <v>0</v>
      </c>
      <c r="BJ13">
        <v>0</v>
      </c>
      <c r="BK13">
        <v>0.22</v>
      </c>
      <c r="BL13">
        <v>0.11</v>
      </c>
      <c r="BM13">
        <v>0</v>
      </c>
      <c r="BN13">
        <v>0.78</v>
      </c>
      <c r="BO13">
        <v>0</v>
      </c>
      <c r="BP13">
        <v>0</v>
      </c>
      <c r="BQ13">
        <v>0.22</v>
      </c>
      <c r="BR13">
        <v>0</v>
      </c>
      <c r="BS13">
        <v>0</v>
      </c>
      <c r="BT13">
        <v>0</v>
      </c>
      <c r="BU13">
        <v>0.78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A14" t="s">
        <v>2</v>
      </c>
      <c r="B14" s="12">
        <f t="shared" ref="B14:B18" si="1">AVERAGE(I14,P14,W14,AD14,AK14,AS14,AZ14,BG14,BN14,BU14)</f>
        <v>2.6000000000000002E-2</v>
      </c>
      <c r="C14" s="11">
        <f>AVERAGE(J14,Q14,X14,AE14,AL14,AT14,BA14,BH14,BO14,BV17)</f>
        <v>0.78700000000000003</v>
      </c>
      <c r="D14" s="12">
        <f>AVERAGE(K14,R14,Y14,AF14,AM14,AU14,BB14,BI14,BP14,BW17)</f>
        <v>5.2000000000000005E-2</v>
      </c>
      <c r="E14" s="12">
        <f>AVERAGE(L14,S14,Z14,AG14,AN14,AV14,BC14,BJ14,BQ14,BX17)</f>
        <v>6.4000000000000001E-2</v>
      </c>
      <c r="F14" s="12">
        <f>AVERAGE(M14,T14,AA14,AH14,AO14,AW14,BD14,BK14,BR14,BY17)</f>
        <v>5.3000000000000005E-2</v>
      </c>
      <c r="G14" s="12">
        <f>AVERAGE(N14,U14,AB14,AI14,AP14,AX14,BE14,BL14,BS14,BZ17)</f>
        <v>2.7000000000000003E-2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P14">
        <v>0</v>
      </c>
      <c r="Q14">
        <v>0.63</v>
      </c>
      <c r="R14">
        <v>0.13</v>
      </c>
      <c r="S14">
        <v>0.13</v>
      </c>
      <c r="T14">
        <v>0.13</v>
      </c>
      <c r="U14">
        <v>0</v>
      </c>
      <c r="W14">
        <v>0</v>
      </c>
      <c r="X14">
        <v>0.75</v>
      </c>
      <c r="Y14">
        <v>0.13</v>
      </c>
      <c r="Z14">
        <v>0</v>
      </c>
      <c r="AA14">
        <v>0.13</v>
      </c>
      <c r="AB14">
        <v>0</v>
      </c>
      <c r="AD14">
        <v>0.13</v>
      </c>
      <c r="AE14">
        <v>0.63</v>
      </c>
      <c r="AF14">
        <v>0.13</v>
      </c>
      <c r="AG14">
        <v>0</v>
      </c>
      <c r="AH14">
        <v>0</v>
      </c>
      <c r="AI14">
        <v>0.13</v>
      </c>
      <c r="AK14">
        <v>0.13</v>
      </c>
      <c r="AL14">
        <v>0.63</v>
      </c>
      <c r="AM14">
        <v>0.13</v>
      </c>
      <c r="AN14">
        <v>0.13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0.88</v>
      </c>
      <c r="AU14">
        <v>0</v>
      </c>
      <c r="AV14">
        <v>0</v>
      </c>
      <c r="AW14">
        <v>0.13</v>
      </c>
      <c r="AX14">
        <v>0</v>
      </c>
      <c r="AY14">
        <v>0</v>
      </c>
      <c r="AZ14">
        <v>0</v>
      </c>
      <c r="BA14">
        <v>0.63</v>
      </c>
      <c r="BB14">
        <v>0</v>
      </c>
      <c r="BC14">
        <v>0.38</v>
      </c>
      <c r="BD14">
        <v>0</v>
      </c>
      <c r="BE14">
        <v>0</v>
      </c>
      <c r="BF14">
        <v>0</v>
      </c>
      <c r="BG14">
        <v>0</v>
      </c>
      <c r="BH14">
        <v>0.86</v>
      </c>
      <c r="BI14">
        <v>0</v>
      </c>
      <c r="BJ14">
        <v>0</v>
      </c>
      <c r="BK14">
        <v>0.14000000000000001</v>
      </c>
      <c r="BL14">
        <v>0</v>
      </c>
      <c r="BM14">
        <v>0</v>
      </c>
      <c r="BN14">
        <v>0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A15" t="s">
        <v>1</v>
      </c>
      <c r="B15" s="12">
        <f t="shared" si="1"/>
        <v>3.2000000000000001E-2</v>
      </c>
      <c r="C15" s="12">
        <f>AVERAGE(J15,Q15,X15,AE15,AL15,AT15,BA15,BH15,BO15,BV18)</f>
        <v>0.29399999999999998</v>
      </c>
      <c r="D15" s="11">
        <f>AVERAGE(K15,R15,Y15,AF15,AM15,AU15,BB15,BI15,BP15,BW18)</f>
        <v>0.372</v>
      </c>
      <c r="E15" s="12">
        <f>AVERAGE(L15,S15,Z15,AG15,AN15,AV15,BC15,BJ15,BQ15,BX18)</f>
        <v>5.2000000000000005E-2</v>
      </c>
      <c r="F15" s="12">
        <f>AVERAGE(M15,T15,AA15,AH15,AO15,AW15,BD15,BK15,BR15,BY18)</f>
        <v>7.4999999999999997E-2</v>
      </c>
      <c r="G15" s="12">
        <f>AVERAGE(N15,U15,AB15,AI15,AP15,AX15,BE15,BL15,BS15,BZ18)</f>
        <v>0.16999999999999998</v>
      </c>
      <c r="I15">
        <v>0</v>
      </c>
      <c r="J15">
        <v>0.33</v>
      </c>
      <c r="K15">
        <v>0.44</v>
      </c>
      <c r="L15">
        <v>0</v>
      </c>
      <c r="M15">
        <v>0.11</v>
      </c>
      <c r="N15">
        <v>0.11</v>
      </c>
      <c r="P15">
        <v>0</v>
      </c>
      <c r="Q15">
        <v>0.6</v>
      </c>
      <c r="R15">
        <v>0.3</v>
      </c>
      <c r="S15">
        <v>0</v>
      </c>
      <c r="T15">
        <v>0</v>
      </c>
      <c r="U15">
        <v>0.1</v>
      </c>
      <c r="W15">
        <v>0</v>
      </c>
      <c r="X15">
        <v>0.2</v>
      </c>
      <c r="Y15">
        <v>0.3</v>
      </c>
      <c r="Z15">
        <v>0.1</v>
      </c>
      <c r="AA15">
        <v>0.1</v>
      </c>
      <c r="AB15">
        <v>0.3</v>
      </c>
      <c r="AD15">
        <v>0</v>
      </c>
      <c r="AE15">
        <v>0.2</v>
      </c>
      <c r="AF15">
        <v>0.5</v>
      </c>
      <c r="AG15">
        <v>0.1</v>
      </c>
      <c r="AH15">
        <v>0.1</v>
      </c>
      <c r="AI15">
        <v>0.1</v>
      </c>
      <c r="AK15">
        <v>0.1</v>
      </c>
      <c r="AL15">
        <v>0.4</v>
      </c>
      <c r="AM15">
        <v>0.3</v>
      </c>
      <c r="AN15">
        <v>0.1</v>
      </c>
      <c r="AO15">
        <v>0</v>
      </c>
      <c r="AP15">
        <v>0.1</v>
      </c>
      <c r="AQ15">
        <v>0.22</v>
      </c>
      <c r="AR15">
        <v>0</v>
      </c>
      <c r="AS15">
        <v>0</v>
      </c>
      <c r="AT15">
        <v>0.11</v>
      </c>
      <c r="AU15">
        <v>0.56000000000000005</v>
      </c>
      <c r="AV15">
        <v>0</v>
      </c>
      <c r="AW15">
        <v>0.11</v>
      </c>
      <c r="AX15">
        <v>0.22</v>
      </c>
      <c r="AY15">
        <v>0</v>
      </c>
      <c r="AZ15">
        <v>0.11</v>
      </c>
      <c r="BA15">
        <v>0.33</v>
      </c>
      <c r="BB15">
        <v>0.11</v>
      </c>
      <c r="BC15">
        <v>0.11</v>
      </c>
      <c r="BD15">
        <v>0.11</v>
      </c>
      <c r="BE15">
        <v>0.22</v>
      </c>
      <c r="BF15">
        <v>0</v>
      </c>
      <c r="BG15">
        <v>0</v>
      </c>
      <c r="BH15">
        <v>0.11</v>
      </c>
      <c r="BI15">
        <v>0.44</v>
      </c>
      <c r="BJ15">
        <v>0</v>
      </c>
      <c r="BK15">
        <v>0.22</v>
      </c>
      <c r="BL15">
        <v>0.22</v>
      </c>
      <c r="BM15">
        <v>0</v>
      </c>
      <c r="BN15">
        <v>0.11</v>
      </c>
      <c r="BO15">
        <v>0.44</v>
      </c>
      <c r="BP15">
        <v>0.33</v>
      </c>
      <c r="BQ15">
        <v>0.11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">
        <v>3</v>
      </c>
      <c r="B16" s="12">
        <f t="shared" si="1"/>
        <v>0.28000000000000008</v>
      </c>
      <c r="C16" s="12">
        <f>AVERAGE(J16,Q16,X16,AE16,AL16,AT16,BA16,BH16,BO16,BV19)</f>
        <v>0.12800000000000003</v>
      </c>
      <c r="D16" s="12">
        <f>AVERAGE(K16,R16,Y16,AF16,AM16,AU16,BB16,BI16,BP16,BW19)</f>
        <v>0.10200000000000001</v>
      </c>
      <c r="E16" s="11">
        <f>AVERAGE(L16,S16,Z16,AG16,AN16,AV16,BC16,BJ16,BQ16,BX19)</f>
        <v>0.36699999999999999</v>
      </c>
      <c r="F16" s="12">
        <f>AVERAGE(M16,T16,AA16,AH16,AO16,AW16,BD16,BK16,BR16,BY19)</f>
        <v>8.0000000000000002E-3</v>
      </c>
      <c r="G16" s="12">
        <f>AVERAGE(N16,U16,AB16,AI16,AP16,AX16,BE16,BL16,BS16,BZ19)</f>
        <v>0.11499999999999999</v>
      </c>
      <c r="I16">
        <v>0.33</v>
      </c>
      <c r="J16">
        <v>0.14000000000000001</v>
      </c>
      <c r="K16">
        <v>0.14000000000000001</v>
      </c>
      <c r="L16">
        <v>0.31</v>
      </c>
      <c r="M16">
        <v>0</v>
      </c>
      <c r="N16">
        <v>7.0000000000000007E-2</v>
      </c>
      <c r="P16">
        <v>0.33</v>
      </c>
      <c r="Q16">
        <v>0.09</v>
      </c>
      <c r="R16">
        <v>0.02</v>
      </c>
      <c r="S16">
        <v>0.49</v>
      </c>
      <c r="T16">
        <v>0</v>
      </c>
      <c r="U16">
        <v>7.0000000000000007E-2</v>
      </c>
      <c r="W16">
        <v>0.23</v>
      </c>
      <c r="X16">
        <v>0.19</v>
      </c>
      <c r="Y16">
        <v>0.12</v>
      </c>
      <c r="Z16">
        <v>0.37</v>
      </c>
      <c r="AA16">
        <v>0</v>
      </c>
      <c r="AB16">
        <v>0.09</v>
      </c>
      <c r="AD16">
        <v>0.23</v>
      </c>
      <c r="AE16">
        <v>0.19</v>
      </c>
      <c r="AF16">
        <v>7.0000000000000007E-2</v>
      </c>
      <c r="AG16">
        <v>0.28000000000000003</v>
      </c>
      <c r="AH16">
        <v>0.02</v>
      </c>
      <c r="AI16">
        <v>0.21</v>
      </c>
      <c r="AK16">
        <v>0.26</v>
      </c>
      <c r="AL16">
        <v>0.12</v>
      </c>
      <c r="AM16">
        <v>0.09</v>
      </c>
      <c r="AN16">
        <v>0.4</v>
      </c>
      <c r="AO16">
        <v>0.02</v>
      </c>
      <c r="AP16">
        <v>0.12</v>
      </c>
      <c r="AQ16">
        <v>0.14000000000000001</v>
      </c>
      <c r="AR16">
        <v>0</v>
      </c>
      <c r="AS16">
        <v>0.33</v>
      </c>
      <c r="AT16">
        <v>7.0000000000000007E-2</v>
      </c>
      <c r="AU16">
        <v>7.0000000000000007E-2</v>
      </c>
      <c r="AV16">
        <v>0.37</v>
      </c>
      <c r="AW16">
        <v>0.02</v>
      </c>
      <c r="AX16">
        <v>0.14000000000000001</v>
      </c>
      <c r="AY16">
        <v>0</v>
      </c>
      <c r="AZ16">
        <v>0.26</v>
      </c>
      <c r="BA16">
        <v>0.19</v>
      </c>
      <c r="BB16">
        <v>0.16</v>
      </c>
      <c r="BC16">
        <v>0.3</v>
      </c>
      <c r="BD16">
        <v>0.02</v>
      </c>
      <c r="BE16">
        <v>7.0000000000000007E-2</v>
      </c>
      <c r="BF16">
        <v>0</v>
      </c>
      <c r="BG16">
        <v>0.26</v>
      </c>
      <c r="BH16">
        <v>0.05</v>
      </c>
      <c r="BI16">
        <v>0.14000000000000001</v>
      </c>
      <c r="BJ16">
        <v>0.44</v>
      </c>
      <c r="BK16">
        <v>0</v>
      </c>
      <c r="BL16">
        <v>0.12</v>
      </c>
      <c r="BM16">
        <v>0</v>
      </c>
      <c r="BN16">
        <v>0.33</v>
      </c>
      <c r="BO16">
        <v>0.1</v>
      </c>
      <c r="BP16">
        <v>0.19</v>
      </c>
      <c r="BQ16">
        <v>0.31</v>
      </c>
      <c r="BR16">
        <v>0</v>
      </c>
      <c r="BS16">
        <v>7.0000000000000007E-2</v>
      </c>
      <c r="BT16">
        <v>0</v>
      </c>
      <c r="BU16">
        <v>0.24</v>
      </c>
      <c r="BV16">
        <v>0</v>
      </c>
      <c r="BW16">
        <v>0</v>
      </c>
      <c r="BX16">
        <v>0</v>
      </c>
      <c r="BY16">
        <v>0</v>
      </c>
      <c r="BZ16">
        <v>0.22</v>
      </c>
    </row>
    <row r="17" spans="1:78" x14ac:dyDescent="0.25">
      <c r="A17" t="s">
        <v>4</v>
      </c>
      <c r="B17" s="12">
        <f t="shared" si="1"/>
        <v>0.16799999999999998</v>
      </c>
      <c r="C17" s="12">
        <f>AVERAGE(J17,Q17,X17,AE17,AL17,AT17,BA17,BH17,BO17,BV20)</f>
        <v>0.31500000000000006</v>
      </c>
      <c r="D17" s="12">
        <f>AVERAGE(K17,R17,Y17,AF17,AM17,AU17,BB17,BI17,BP17,BW20)</f>
        <v>0.11500000000000002</v>
      </c>
      <c r="E17" s="12">
        <f>AVERAGE(L17,S17,Z17,AG17,AN17,AV17,BC17,BJ17,BQ17,BX20)</f>
        <v>6.0999999999999999E-2</v>
      </c>
      <c r="F17" s="11">
        <f>AVERAGE(M17,T17,AA17,AH17,AO17,AW17,BD17,BK17,BR17,BY20)</f>
        <v>0.16300000000000003</v>
      </c>
      <c r="G17" s="12">
        <f>AVERAGE(N17,U17,AB17,AI17,AP17,AX17,BE17,BL17,BS17,BZ20)</f>
        <v>0.18000000000000002</v>
      </c>
      <c r="I17">
        <v>0.24</v>
      </c>
      <c r="J17">
        <v>0.32</v>
      </c>
      <c r="K17">
        <v>0.14000000000000001</v>
      </c>
      <c r="L17">
        <v>0</v>
      </c>
      <c r="M17">
        <v>0.19</v>
      </c>
      <c r="N17">
        <v>0.11</v>
      </c>
      <c r="P17">
        <v>0.08</v>
      </c>
      <c r="Q17">
        <v>0.35</v>
      </c>
      <c r="R17">
        <v>0.16</v>
      </c>
      <c r="S17">
        <v>0.08</v>
      </c>
      <c r="T17">
        <v>0.3</v>
      </c>
      <c r="U17">
        <v>0.03</v>
      </c>
      <c r="W17">
        <v>0.14000000000000001</v>
      </c>
      <c r="X17">
        <v>0.35</v>
      </c>
      <c r="Y17">
        <v>0</v>
      </c>
      <c r="Z17">
        <v>0.05</v>
      </c>
      <c r="AA17">
        <v>0.16</v>
      </c>
      <c r="AB17">
        <v>0.3</v>
      </c>
      <c r="AD17">
        <v>0.19</v>
      </c>
      <c r="AE17">
        <v>0.27</v>
      </c>
      <c r="AF17">
        <v>0.14000000000000001</v>
      </c>
      <c r="AG17">
        <v>0.08</v>
      </c>
      <c r="AH17">
        <v>0.22</v>
      </c>
      <c r="AI17">
        <v>0.11</v>
      </c>
      <c r="AK17">
        <v>0.19</v>
      </c>
      <c r="AL17">
        <v>0.38</v>
      </c>
      <c r="AM17">
        <v>0.11</v>
      </c>
      <c r="AN17">
        <v>0</v>
      </c>
      <c r="AO17">
        <v>0.22</v>
      </c>
      <c r="AP17">
        <v>0.11</v>
      </c>
      <c r="AQ17">
        <v>0.27</v>
      </c>
      <c r="AR17">
        <v>0</v>
      </c>
      <c r="AS17">
        <v>0.3</v>
      </c>
      <c r="AT17">
        <v>0.24</v>
      </c>
      <c r="AU17">
        <v>0.03</v>
      </c>
      <c r="AV17">
        <v>0.05</v>
      </c>
      <c r="AW17">
        <v>0.11</v>
      </c>
      <c r="AX17">
        <v>0.27</v>
      </c>
      <c r="AY17">
        <v>0</v>
      </c>
      <c r="AZ17">
        <v>0.16</v>
      </c>
      <c r="BA17">
        <v>0.24</v>
      </c>
      <c r="BB17">
        <v>0.14000000000000001</v>
      </c>
      <c r="BC17">
        <v>0.05</v>
      </c>
      <c r="BD17">
        <v>0.14000000000000001</v>
      </c>
      <c r="BE17">
        <v>0.27</v>
      </c>
      <c r="BF17">
        <v>0</v>
      </c>
      <c r="BG17">
        <v>0.14000000000000001</v>
      </c>
      <c r="BH17">
        <v>0.43</v>
      </c>
      <c r="BI17">
        <v>0</v>
      </c>
      <c r="BJ17">
        <v>0.05</v>
      </c>
      <c r="BK17">
        <v>0.19</v>
      </c>
      <c r="BL17">
        <v>0.19</v>
      </c>
      <c r="BM17">
        <v>0</v>
      </c>
      <c r="BN17">
        <v>0.16</v>
      </c>
      <c r="BO17">
        <v>0.35</v>
      </c>
      <c r="BP17">
        <v>0.19</v>
      </c>
      <c r="BQ17">
        <v>0.14000000000000001</v>
      </c>
      <c r="BR17">
        <v>0.05</v>
      </c>
      <c r="BS17">
        <v>0.11</v>
      </c>
      <c r="BT17">
        <v>0</v>
      </c>
      <c r="BU17">
        <v>0.08</v>
      </c>
      <c r="BV17">
        <v>0.86</v>
      </c>
      <c r="BW17">
        <v>0</v>
      </c>
      <c r="BX17">
        <v>0</v>
      </c>
      <c r="BY17">
        <v>0</v>
      </c>
      <c r="BZ17">
        <v>0.14000000000000001</v>
      </c>
    </row>
    <row r="18" spans="1:78" x14ac:dyDescent="0.25">
      <c r="A18" t="s">
        <v>5</v>
      </c>
      <c r="B18" s="12">
        <f t="shared" si="1"/>
        <v>0.189</v>
      </c>
      <c r="C18" s="12">
        <f>AVERAGE(J18,Q18,X18,AE18,AL18,AT18,BA18,BH18,BO18,BV21)</f>
        <v>8.9999999999999993E-3</v>
      </c>
      <c r="D18" s="12">
        <f>AVERAGE(K18,R18,Y18,AF18,AM18,AU18,BB18,BI18,BP18,BW21)</f>
        <v>8.0999999999999989E-2</v>
      </c>
      <c r="E18" s="12">
        <f>AVERAGE(L18,S18,Z18,AG18,AN18,AV18,BC18,BJ18,BQ18,BX21)</f>
        <v>3.5999999999999997E-2</v>
      </c>
      <c r="F18" s="12">
        <f>AVERAGE(M18,T18,AA18,AH18,AO18,AW18,BD18,BK18,BR18,BY21)</f>
        <v>2.7000000000000003E-2</v>
      </c>
      <c r="G18" s="11">
        <f>AVERAGE(N18,U18,AB18,AI18,AP18,AX18,BE18,BL18,BS18,BZ21)</f>
        <v>0.65600000000000003</v>
      </c>
      <c r="I18">
        <v>0.09</v>
      </c>
      <c r="J18">
        <v>0</v>
      </c>
      <c r="K18">
        <v>0.45</v>
      </c>
      <c r="L18">
        <v>0</v>
      </c>
      <c r="M18">
        <v>0</v>
      </c>
      <c r="N18">
        <v>0.45</v>
      </c>
      <c r="P18">
        <v>0.09</v>
      </c>
      <c r="Q18">
        <v>0</v>
      </c>
      <c r="R18">
        <v>0</v>
      </c>
      <c r="S18">
        <v>0.09</v>
      </c>
      <c r="T18">
        <v>0.09</v>
      </c>
      <c r="U18">
        <v>0.73</v>
      </c>
      <c r="W18">
        <v>0.09</v>
      </c>
      <c r="X18">
        <v>0</v>
      </c>
      <c r="Y18">
        <v>0</v>
      </c>
      <c r="Z18">
        <v>0.09</v>
      </c>
      <c r="AA18">
        <v>0</v>
      </c>
      <c r="AB18">
        <v>0.82</v>
      </c>
      <c r="AD18">
        <v>0.09</v>
      </c>
      <c r="AE18">
        <v>0.09</v>
      </c>
      <c r="AF18">
        <v>0.18</v>
      </c>
      <c r="AG18">
        <v>0</v>
      </c>
      <c r="AH18">
        <v>0</v>
      </c>
      <c r="AI18">
        <v>0.64</v>
      </c>
      <c r="AK18">
        <v>0.18</v>
      </c>
      <c r="AL18">
        <v>0</v>
      </c>
      <c r="AM18">
        <v>0.09</v>
      </c>
      <c r="AN18">
        <v>0</v>
      </c>
      <c r="AO18">
        <v>0</v>
      </c>
      <c r="AP18">
        <v>0.73</v>
      </c>
      <c r="AQ18">
        <v>0.55000000000000004</v>
      </c>
      <c r="AR18">
        <v>0</v>
      </c>
      <c r="AS18">
        <v>0.45</v>
      </c>
      <c r="AT18">
        <v>0</v>
      </c>
      <c r="AU18">
        <v>0</v>
      </c>
      <c r="AV18">
        <v>0</v>
      </c>
      <c r="AW18">
        <v>0</v>
      </c>
      <c r="AX18">
        <v>0.55000000000000004</v>
      </c>
      <c r="AY18">
        <v>0</v>
      </c>
      <c r="AZ18">
        <v>0.18</v>
      </c>
      <c r="BA18">
        <v>0</v>
      </c>
      <c r="BB18">
        <v>0</v>
      </c>
      <c r="BC18">
        <v>0</v>
      </c>
      <c r="BD18">
        <v>0</v>
      </c>
      <c r="BE18">
        <v>0.82</v>
      </c>
      <c r="BF18">
        <v>0</v>
      </c>
      <c r="BG18">
        <v>0.27</v>
      </c>
      <c r="BH18">
        <v>0</v>
      </c>
      <c r="BI18">
        <v>0</v>
      </c>
      <c r="BJ18">
        <v>0.09</v>
      </c>
      <c r="BK18">
        <v>0</v>
      </c>
      <c r="BL18">
        <v>0.64</v>
      </c>
      <c r="BM18">
        <v>0</v>
      </c>
      <c r="BN18">
        <v>0.27</v>
      </c>
      <c r="BO18">
        <v>0</v>
      </c>
      <c r="BP18">
        <v>0.09</v>
      </c>
      <c r="BQ18">
        <v>0</v>
      </c>
      <c r="BR18">
        <v>0.18</v>
      </c>
      <c r="BS18">
        <v>0.45</v>
      </c>
      <c r="BT18">
        <v>0</v>
      </c>
      <c r="BU18">
        <v>0.18</v>
      </c>
      <c r="BV18">
        <v>0.22</v>
      </c>
      <c r="BW18">
        <v>0.44</v>
      </c>
      <c r="BX18">
        <v>0</v>
      </c>
      <c r="BY18">
        <v>0</v>
      </c>
      <c r="BZ18">
        <v>0.33</v>
      </c>
    </row>
    <row r="19" spans="1:78" x14ac:dyDescent="0.25">
      <c r="A19" t="s">
        <v>31</v>
      </c>
      <c r="B19" s="12">
        <f>AVERAGE(B18,B17,B16,B15,B14)</f>
        <v>0.13900000000000001</v>
      </c>
      <c r="C19" s="12">
        <f>AVERAGE(C18,C17,C16,C15,C13)</f>
        <v>0.154</v>
      </c>
      <c r="D19" s="12">
        <f>AVERAGE(D18,D17,D16,D13,D14)</f>
        <v>7.2200000000000014E-2</v>
      </c>
      <c r="E19" s="12">
        <f>AVERAGE(E18,E17,E13,E15,E14)</f>
        <v>4.9200000000000001E-2</v>
      </c>
      <c r="F19" s="12">
        <f>AVERAGE(F18,F13,F16,F15,F14)</f>
        <v>3.6999999999999998E-2</v>
      </c>
      <c r="G19" s="12">
        <f>AVERAGE(G13,G17,G16,G15,G14)</f>
        <v>0.11380000000000001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0.14000000000000001</v>
      </c>
      <c r="BW19">
        <v>0.02</v>
      </c>
      <c r="BX19">
        <v>0.4</v>
      </c>
      <c r="BY19">
        <v>0</v>
      </c>
      <c r="BZ19">
        <v>0.19</v>
      </c>
    </row>
    <row r="20" spans="1:78" x14ac:dyDescent="0.25">
      <c r="B20" s="11">
        <f>AVERAGE(I20,P20,W20,AD20,AK20,AS20,AZ20,BG20,BN20,BU20)</f>
        <v>0.52900000000000003</v>
      </c>
      <c r="C20" s="12"/>
      <c r="D20" s="12"/>
      <c r="E20" s="12"/>
      <c r="F20" s="12"/>
      <c r="G20" s="12"/>
      <c r="I20">
        <v>0.55000000000000004</v>
      </c>
      <c r="J20">
        <v>114</v>
      </c>
      <c r="P20">
        <v>0.52</v>
      </c>
      <c r="Q20">
        <v>118</v>
      </c>
      <c r="W20">
        <v>0.56999999999999995</v>
      </c>
      <c r="X20">
        <v>118</v>
      </c>
      <c r="AD20">
        <v>0.54</v>
      </c>
      <c r="AE20">
        <v>118</v>
      </c>
      <c r="AK20">
        <v>0.54</v>
      </c>
      <c r="AL20">
        <v>118</v>
      </c>
      <c r="AQ20">
        <v>0</v>
      </c>
      <c r="AR20">
        <v>0</v>
      </c>
      <c r="AS20">
        <v>0.54</v>
      </c>
      <c r="AT20">
        <v>117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0.46</v>
      </c>
      <c r="BA20">
        <v>117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0.54</v>
      </c>
      <c r="BH20">
        <v>116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0.49</v>
      </c>
      <c r="BO20">
        <v>115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0.54</v>
      </c>
      <c r="BV20">
        <v>0.22</v>
      </c>
      <c r="BW20">
        <v>0.24</v>
      </c>
      <c r="BX20">
        <v>0.11</v>
      </c>
      <c r="BY20">
        <v>0.05</v>
      </c>
      <c r="BZ20">
        <v>0.3</v>
      </c>
    </row>
    <row r="21" spans="1:78" x14ac:dyDescent="0.25">
      <c r="BV21">
        <v>0</v>
      </c>
      <c r="BW21">
        <v>0</v>
      </c>
      <c r="BX21">
        <v>0.09</v>
      </c>
      <c r="BY21">
        <v>0</v>
      </c>
      <c r="BZ21">
        <v>0.73</v>
      </c>
    </row>
    <row r="22" spans="1:78" x14ac:dyDescent="0.25">
      <c r="H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/>
      <c r="C23" s="12"/>
      <c r="D23" s="12"/>
      <c r="E23" s="12"/>
      <c r="F23" s="12"/>
      <c r="G23" s="12"/>
      <c r="H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V23">
        <v>115</v>
      </c>
      <c r="BW23">
        <v>0</v>
      </c>
      <c r="BX23">
        <v>0</v>
      </c>
      <c r="BY23">
        <v>0</v>
      </c>
      <c r="BZ23">
        <v>0</v>
      </c>
    </row>
    <row r="24" spans="1:78" x14ac:dyDescent="0.25">
      <c r="B24" s="12"/>
      <c r="C24" s="11"/>
      <c r="D24" s="12"/>
      <c r="E24" s="12"/>
      <c r="F24" s="12"/>
      <c r="G24" s="12"/>
      <c r="H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</row>
    <row r="25" spans="1:78" x14ac:dyDescent="0.25">
      <c r="B25" s="12"/>
      <c r="C25" s="12"/>
      <c r="D25" s="11"/>
      <c r="E25" s="12"/>
      <c r="F25" s="12"/>
      <c r="G25" s="12"/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</row>
    <row r="26" spans="1:78" x14ac:dyDescent="0.25">
      <c r="B26" s="12"/>
      <c r="C26" s="12"/>
      <c r="D26" s="12"/>
      <c r="E26" s="11"/>
      <c r="F26" s="12"/>
      <c r="G26" s="12"/>
      <c r="H26">
        <v>0.04</v>
      </c>
      <c r="J26">
        <v>0.91</v>
      </c>
      <c r="K26">
        <v>0.03</v>
      </c>
      <c r="L26">
        <v>0</v>
      </c>
      <c r="M26">
        <v>0.03</v>
      </c>
      <c r="N26">
        <v>0.01</v>
      </c>
      <c r="O26">
        <v>0.03</v>
      </c>
      <c r="Q26">
        <v>0.94</v>
      </c>
      <c r="R26">
        <v>0.01</v>
      </c>
      <c r="S26">
        <v>0.01</v>
      </c>
      <c r="T26">
        <v>0</v>
      </c>
      <c r="U26">
        <v>0.01</v>
      </c>
      <c r="V26">
        <v>0.03</v>
      </c>
      <c r="X26">
        <v>0.94</v>
      </c>
      <c r="Y26">
        <v>0.03</v>
      </c>
      <c r="Z26">
        <v>0.01</v>
      </c>
      <c r="AA26">
        <v>0</v>
      </c>
      <c r="AB26">
        <v>0</v>
      </c>
      <c r="AC26">
        <v>0.03</v>
      </c>
      <c r="AE26">
        <v>0.93</v>
      </c>
      <c r="AF26">
        <v>0.03</v>
      </c>
      <c r="AG26">
        <v>0.01</v>
      </c>
      <c r="AH26">
        <v>0</v>
      </c>
      <c r="AI26">
        <v>0</v>
      </c>
      <c r="AJ26">
        <v>0.04</v>
      </c>
      <c r="BT26">
        <v>0</v>
      </c>
    </row>
    <row r="27" spans="1:78" x14ac:dyDescent="0.25">
      <c r="B27" s="12"/>
      <c r="C27" s="12"/>
      <c r="D27" s="12"/>
      <c r="E27" s="12"/>
      <c r="F27" s="11"/>
      <c r="G27" s="12"/>
      <c r="H27">
        <v>0.03</v>
      </c>
      <c r="J27">
        <v>0.01</v>
      </c>
      <c r="K27">
        <v>0.88</v>
      </c>
      <c r="L27">
        <v>0</v>
      </c>
      <c r="M27">
        <v>0.06</v>
      </c>
      <c r="N27">
        <v>0.01</v>
      </c>
      <c r="O27">
        <v>0.03</v>
      </c>
      <c r="Q27">
        <v>0.01</v>
      </c>
      <c r="R27">
        <v>0.87</v>
      </c>
      <c r="S27">
        <v>0</v>
      </c>
      <c r="T27">
        <v>0.06</v>
      </c>
      <c r="U27">
        <v>0.03</v>
      </c>
      <c r="V27">
        <v>0.03</v>
      </c>
      <c r="X27">
        <v>0</v>
      </c>
      <c r="Y27">
        <v>0.93</v>
      </c>
      <c r="Z27">
        <v>0</v>
      </c>
      <c r="AA27">
        <v>0.03</v>
      </c>
      <c r="AB27">
        <v>0.03</v>
      </c>
      <c r="AC27">
        <v>0.01</v>
      </c>
      <c r="AE27">
        <v>0.01</v>
      </c>
      <c r="AF27">
        <v>0.91</v>
      </c>
      <c r="AG27">
        <v>0</v>
      </c>
      <c r="AH27">
        <v>0</v>
      </c>
      <c r="AI27">
        <v>0.04</v>
      </c>
      <c r="AJ27">
        <v>0.03</v>
      </c>
      <c r="BT27">
        <v>0</v>
      </c>
    </row>
    <row r="28" spans="1:78" x14ac:dyDescent="0.25">
      <c r="B28" s="12"/>
      <c r="C28" s="12"/>
      <c r="D28" s="12"/>
      <c r="E28" s="12"/>
      <c r="F28" s="12"/>
      <c r="G28" s="11"/>
      <c r="H28">
        <v>0.04</v>
      </c>
      <c r="J28">
        <v>0.01</v>
      </c>
      <c r="K28">
        <v>0.15</v>
      </c>
      <c r="L28">
        <v>0.69</v>
      </c>
      <c r="M28">
        <v>0</v>
      </c>
      <c r="N28">
        <v>0.04</v>
      </c>
      <c r="O28">
        <v>0.11</v>
      </c>
      <c r="Q28">
        <v>0.01</v>
      </c>
      <c r="R28">
        <v>0.2</v>
      </c>
      <c r="S28">
        <v>0.64</v>
      </c>
      <c r="T28">
        <v>0.01</v>
      </c>
      <c r="U28">
        <v>0.02</v>
      </c>
      <c r="V28">
        <v>0.11</v>
      </c>
      <c r="X28">
        <v>0.01</v>
      </c>
      <c r="Y28">
        <v>0.14000000000000001</v>
      </c>
      <c r="Z28">
        <v>0.77</v>
      </c>
      <c r="AA28">
        <v>0</v>
      </c>
      <c r="AB28">
        <v>0.01</v>
      </c>
      <c r="AC28">
        <v>0.06</v>
      </c>
      <c r="AE28">
        <v>0.02</v>
      </c>
      <c r="AF28">
        <v>0.2</v>
      </c>
      <c r="AG28">
        <v>0.64</v>
      </c>
      <c r="AH28">
        <v>0.04</v>
      </c>
      <c r="AI28">
        <v>0.01</v>
      </c>
      <c r="AJ28">
        <v>0.08</v>
      </c>
      <c r="BT28">
        <v>0</v>
      </c>
    </row>
    <row r="29" spans="1:78" x14ac:dyDescent="0.25">
      <c r="B29" s="1"/>
      <c r="C29" s="1"/>
      <c r="D29" s="1"/>
      <c r="E29" s="1"/>
      <c r="F29" s="1"/>
      <c r="G29" s="1"/>
      <c r="H29">
        <v>0.1</v>
      </c>
      <c r="J29">
        <v>0.25</v>
      </c>
      <c r="K29">
        <v>0.11</v>
      </c>
      <c r="L29">
        <v>0.06</v>
      </c>
      <c r="M29">
        <v>0.43</v>
      </c>
      <c r="N29">
        <v>0.02</v>
      </c>
      <c r="O29">
        <v>0.13</v>
      </c>
      <c r="Q29">
        <v>0.23</v>
      </c>
      <c r="R29">
        <v>0.11</v>
      </c>
      <c r="S29">
        <v>7.0000000000000007E-2</v>
      </c>
      <c r="T29">
        <v>0.44</v>
      </c>
      <c r="U29">
        <v>0.02</v>
      </c>
      <c r="V29">
        <v>0.13</v>
      </c>
      <c r="X29">
        <v>0.23</v>
      </c>
      <c r="Y29">
        <v>0.11</v>
      </c>
      <c r="Z29">
        <v>7.0000000000000007E-2</v>
      </c>
      <c r="AA29">
        <v>0.47</v>
      </c>
      <c r="AB29">
        <v>0.01</v>
      </c>
      <c r="AC29">
        <v>0.11</v>
      </c>
      <c r="AE29">
        <v>0.25</v>
      </c>
      <c r="AF29">
        <v>0.14000000000000001</v>
      </c>
      <c r="AG29">
        <v>7.0000000000000007E-2</v>
      </c>
      <c r="AH29">
        <v>0.42</v>
      </c>
      <c r="AI29">
        <v>0.01</v>
      </c>
      <c r="AJ29">
        <v>0.11</v>
      </c>
      <c r="BT29">
        <v>0</v>
      </c>
    </row>
    <row r="30" spans="1:78" x14ac:dyDescent="0.25">
      <c r="B30" s="11"/>
      <c r="C30" s="1"/>
      <c r="D30" s="1"/>
      <c r="E30" s="1"/>
      <c r="F30" s="1"/>
      <c r="G30" s="1"/>
      <c r="H30">
        <v>0.19</v>
      </c>
      <c r="J30">
        <v>0.15</v>
      </c>
      <c r="K30">
        <v>0.28999999999999998</v>
      </c>
      <c r="L30">
        <v>0.14000000000000001</v>
      </c>
      <c r="M30">
        <v>0.06</v>
      </c>
      <c r="N30">
        <v>0.21</v>
      </c>
      <c r="O30">
        <v>0.15</v>
      </c>
      <c r="Q30">
        <v>0.14000000000000001</v>
      </c>
      <c r="R30">
        <v>0.31</v>
      </c>
      <c r="S30">
        <v>0.09</v>
      </c>
      <c r="T30">
        <v>0.06</v>
      </c>
      <c r="U30">
        <v>0.22</v>
      </c>
      <c r="V30">
        <v>0.18</v>
      </c>
      <c r="X30">
        <v>0.15</v>
      </c>
      <c r="Y30">
        <v>0.31</v>
      </c>
      <c r="Z30">
        <v>0.13</v>
      </c>
      <c r="AA30">
        <v>0.06</v>
      </c>
      <c r="AB30">
        <v>0.18</v>
      </c>
      <c r="AC30">
        <v>0.17</v>
      </c>
      <c r="AE30">
        <v>0.14000000000000001</v>
      </c>
      <c r="AF30">
        <v>0.32</v>
      </c>
      <c r="AG30">
        <v>0.1</v>
      </c>
      <c r="AH30">
        <v>0.06</v>
      </c>
      <c r="AI30">
        <v>0.22</v>
      </c>
      <c r="AJ30">
        <v>0.16</v>
      </c>
      <c r="BT30">
        <v>0</v>
      </c>
    </row>
    <row r="31" spans="1:78" x14ac:dyDescent="0.25">
      <c r="C31">
        <v>0.13</v>
      </c>
      <c r="D31">
        <v>0</v>
      </c>
      <c r="E31">
        <v>0.05</v>
      </c>
      <c r="F31">
        <v>0.02</v>
      </c>
      <c r="G31">
        <v>0.02</v>
      </c>
      <c r="H31">
        <v>0.78</v>
      </c>
      <c r="J31">
        <v>0.16</v>
      </c>
      <c r="K31">
        <v>0</v>
      </c>
      <c r="L31">
        <v>0.02</v>
      </c>
      <c r="M31">
        <v>0.03</v>
      </c>
      <c r="N31">
        <v>0.01</v>
      </c>
      <c r="O31">
        <v>0.78</v>
      </c>
      <c r="Q31">
        <v>0.13</v>
      </c>
      <c r="R31">
        <v>0</v>
      </c>
      <c r="S31">
        <v>0.01</v>
      </c>
      <c r="T31">
        <v>0.04</v>
      </c>
      <c r="U31">
        <v>0.01</v>
      </c>
      <c r="V31">
        <v>0.81</v>
      </c>
      <c r="X31">
        <v>0.15</v>
      </c>
      <c r="Y31">
        <v>0</v>
      </c>
      <c r="Z31">
        <v>0.01</v>
      </c>
      <c r="AA31">
        <v>0.02</v>
      </c>
      <c r="AB31">
        <v>0.02</v>
      </c>
      <c r="AC31">
        <v>0.8</v>
      </c>
      <c r="AE31">
        <v>0.15</v>
      </c>
      <c r="AF31">
        <v>0</v>
      </c>
      <c r="AG31">
        <v>0</v>
      </c>
      <c r="AH31">
        <v>0.03</v>
      </c>
      <c r="AI31">
        <v>0.02</v>
      </c>
      <c r="AJ31">
        <v>0.8</v>
      </c>
      <c r="BT31">
        <v>0</v>
      </c>
    </row>
    <row r="32" spans="1:78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BT32">
        <v>0</v>
      </c>
    </row>
    <row r="33" spans="3:72" x14ac:dyDescent="0.25">
      <c r="C33">
        <v>0.65</v>
      </c>
      <c r="D33">
        <v>1052</v>
      </c>
      <c r="E33">
        <v>0</v>
      </c>
      <c r="F33">
        <v>0</v>
      </c>
      <c r="G33">
        <v>0</v>
      </c>
      <c r="H33">
        <v>0</v>
      </c>
      <c r="J33">
        <v>0.65</v>
      </c>
      <c r="K33">
        <v>1048</v>
      </c>
      <c r="L33">
        <v>0</v>
      </c>
      <c r="M33">
        <v>0</v>
      </c>
      <c r="N33">
        <v>0</v>
      </c>
      <c r="O33">
        <v>0</v>
      </c>
      <c r="Q33">
        <v>0.65</v>
      </c>
      <c r="R33">
        <v>1048</v>
      </c>
      <c r="S33">
        <v>0</v>
      </c>
      <c r="T33">
        <v>0</v>
      </c>
      <c r="U33">
        <v>0</v>
      </c>
      <c r="V33">
        <v>0</v>
      </c>
      <c r="X33">
        <v>0.68</v>
      </c>
      <c r="Y33">
        <v>1048</v>
      </c>
      <c r="Z33">
        <v>0</v>
      </c>
      <c r="AA33">
        <v>0</v>
      </c>
      <c r="AB33">
        <v>0</v>
      </c>
      <c r="AC33">
        <v>0</v>
      </c>
      <c r="AE33">
        <v>0.65</v>
      </c>
      <c r="AF33">
        <v>1048</v>
      </c>
      <c r="AG33">
        <v>0</v>
      </c>
      <c r="AH33">
        <v>0</v>
      </c>
      <c r="AI33">
        <v>0</v>
      </c>
      <c r="AJ33">
        <v>0</v>
      </c>
      <c r="BT33">
        <v>0</v>
      </c>
    </row>
    <row r="34" spans="3:72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BT34">
        <v>0</v>
      </c>
    </row>
    <row r="35" spans="3:72" x14ac:dyDescent="0.25"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BT35">
        <v>0</v>
      </c>
    </row>
    <row r="36" spans="3:72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BT36">
        <v>0</v>
      </c>
    </row>
    <row r="37" spans="3:72" x14ac:dyDescent="0.25">
      <c r="C37">
        <v>0.88</v>
      </c>
      <c r="D37">
        <v>0.13</v>
      </c>
      <c r="E37">
        <v>0</v>
      </c>
      <c r="F37">
        <v>0</v>
      </c>
      <c r="G37">
        <v>0</v>
      </c>
      <c r="H37">
        <v>0</v>
      </c>
      <c r="J37">
        <v>0.67</v>
      </c>
      <c r="K37">
        <v>0</v>
      </c>
      <c r="L37">
        <v>0.11</v>
      </c>
      <c r="M37">
        <v>0</v>
      </c>
      <c r="N37">
        <v>0</v>
      </c>
      <c r="O37">
        <v>0.22</v>
      </c>
      <c r="Q37">
        <v>1</v>
      </c>
      <c r="R37">
        <v>0</v>
      </c>
      <c r="S37">
        <v>0</v>
      </c>
      <c r="T37">
        <v>0</v>
      </c>
      <c r="U37">
        <v>0</v>
      </c>
      <c r="V37">
        <v>0</v>
      </c>
      <c r="X37">
        <v>1</v>
      </c>
      <c r="Y37">
        <v>0</v>
      </c>
      <c r="Z37">
        <v>0</v>
      </c>
      <c r="AA37">
        <v>0</v>
      </c>
      <c r="AB37">
        <v>0</v>
      </c>
      <c r="AC37">
        <v>0</v>
      </c>
      <c r="AE37">
        <v>1</v>
      </c>
      <c r="AF37">
        <v>0</v>
      </c>
      <c r="AG37">
        <v>0</v>
      </c>
      <c r="AH37">
        <v>0</v>
      </c>
      <c r="AI37">
        <v>0</v>
      </c>
      <c r="AJ37">
        <v>0</v>
      </c>
      <c r="BT37">
        <v>0</v>
      </c>
    </row>
    <row r="38" spans="3:72" x14ac:dyDescent="0.25">
      <c r="C38">
        <v>0</v>
      </c>
      <c r="D38">
        <v>1</v>
      </c>
      <c r="E38">
        <v>0</v>
      </c>
      <c r="F38">
        <v>0</v>
      </c>
      <c r="G38">
        <v>0</v>
      </c>
      <c r="H38">
        <v>0</v>
      </c>
      <c r="J38">
        <v>0</v>
      </c>
      <c r="K38">
        <v>0.63</v>
      </c>
      <c r="L38">
        <v>0.13</v>
      </c>
      <c r="M38">
        <v>0.13</v>
      </c>
      <c r="N38">
        <v>0.13</v>
      </c>
      <c r="O38">
        <v>0</v>
      </c>
      <c r="Q38">
        <v>0</v>
      </c>
      <c r="R38">
        <v>0.75</v>
      </c>
      <c r="S38">
        <v>0.13</v>
      </c>
      <c r="T38">
        <v>0</v>
      </c>
      <c r="U38">
        <v>0.13</v>
      </c>
      <c r="V38">
        <v>0</v>
      </c>
      <c r="X38">
        <v>0.13</v>
      </c>
      <c r="Y38">
        <v>0.63</v>
      </c>
      <c r="Z38">
        <v>0.13</v>
      </c>
      <c r="AA38">
        <v>0</v>
      </c>
      <c r="AB38">
        <v>0</v>
      </c>
      <c r="AC38">
        <v>0.13</v>
      </c>
      <c r="AE38">
        <v>0.13</v>
      </c>
      <c r="AF38">
        <v>0.63</v>
      </c>
      <c r="AG38">
        <v>0.13</v>
      </c>
      <c r="AH38">
        <v>0.13</v>
      </c>
      <c r="AI38">
        <v>0</v>
      </c>
      <c r="AJ38">
        <v>0</v>
      </c>
      <c r="BT38">
        <v>0</v>
      </c>
    </row>
    <row r="39" spans="3:72" x14ac:dyDescent="0.25">
      <c r="C39">
        <v>0</v>
      </c>
      <c r="D39">
        <v>0.33</v>
      </c>
      <c r="E39">
        <v>0.44</v>
      </c>
      <c r="F39">
        <v>0</v>
      </c>
      <c r="G39">
        <v>0.11</v>
      </c>
      <c r="H39">
        <v>0.11</v>
      </c>
      <c r="J39">
        <v>0</v>
      </c>
      <c r="K39">
        <v>0.6</v>
      </c>
      <c r="L39">
        <v>0.3</v>
      </c>
      <c r="M39">
        <v>0</v>
      </c>
      <c r="N39">
        <v>0</v>
      </c>
      <c r="O39">
        <v>0.1</v>
      </c>
      <c r="Q39">
        <v>0</v>
      </c>
      <c r="R39">
        <v>0.2</v>
      </c>
      <c r="S39">
        <v>0.3</v>
      </c>
      <c r="T39">
        <v>0.1</v>
      </c>
      <c r="U39">
        <v>0.1</v>
      </c>
      <c r="V39">
        <v>0.3</v>
      </c>
      <c r="X39">
        <v>0</v>
      </c>
      <c r="Y39">
        <v>0.2</v>
      </c>
      <c r="Z39">
        <v>0.5</v>
      </c>
      <c r="AA39">
        <v>0.1</v>
      </c>
      <c r="AB39">
        <v>0.1</v>
      </c>
      <c r="AC39">
        <v>0.1</v>
      </c>
      <c r="AE39">
        <v>0.1</v>
      </c>
      <c r="AF39">
        <v>0.4</v>
      </c>
      <c r="AG39">
        <v>0.3</v>
      </c>
      <c r="AH39">
        <v>0.1</v>
      </c>
      <c r="AI39">
        <v>0</v>
      </c>
      <c r="AJ39">
        <v>0.1</v>
      </c>
      <c r="BT39">
        <v>0</v>
      </c>
    </row>
    <row r="40" spans="3:72" x14ac:dyDescent="0.25">
      <c r="C40">
        <v>0.33</v>
      </c>
      <c r="D40">
        <v>0.14000000000000001</v>
      </c>
      <c r="E40">
        <v>0.14000000000000001</v>
      </c>
      <c r="F40">
        <v>0.31</v>
      </c>
      <c r="G40">
        <v>0</v>
      </c>
      <c r="H40">
        <v>7.0000000000000007E-2</v>
      </c>
      <c r="J40">
        <v>0.33</v>
      </c>
      <c r="K40">
        <v>0.09</v>
      </c>
      <c r="L40">
        <v>0.02</v>
      </c>
      <c r="M40">
        <v>0.49</v>
      </c>
      <c r="N40">
        <v>0</v>
      </c>
      <c r="O40">
        <v>7.0000000000000007E-2</v>
      </c>
      <c r="Q40">
        <v>0.23</v>
      </c>
      <c r="R40">
        <v>0.19</v>
      </c>
      <c r="S40">
        <v>0.12</v>
      </c>
      <c r="T40">
        <v>0.37</v>
      </c>
      <c r="U40">
        <v>0</v>
      </c>
      <c r="V40">
        <v>0.09</v>
      </c>
      <c r="X40">
        <v>0.23</v>
      </c>
      <c r="Y40">
        <v>0.19</v>
      </c>
      <c r="Z40">
        <v>7.0000000000000007E-2</v>
      </c>
      <c r="AA40">
        <v>0.28000000000000003</v>
      </c>
      <c r="AB40">
        <v>0.02</v>
      </c>
      <c r="AC40">
        <v>0.21</v>
      </c>
      <c r="AE40">
        <v>0.26</v>
      </c>
      <c r="AF40">
        <v>0.12</v>
      </c>
      <c r="AG40">
        <v>0.09</v>
      </c>
      <c r="AH40">
        <v>0.4</v>
      </c>
      <c r="AI40">
        <v>0.02</v>
      </c>
      <c r="AJ40">
        <v>0.12</v>
      </c>
      <c r="BT40">
        <v>0</v>
      </c>
    </row>
    <row r="41" spans="3:72" x14ac:dyDescent="0.25">
      <c r="C41">
        <v>0.24</v>
      </c>
      <c r="D41">
        <v>0.32</v>
      </c>
      <c r="E41">
        <v>0.14000000000000001</v>
      </c>
      <c r="F41">
        <v>0</v>
      </c>
      <c r="G41">
        <v>0.19</v>
      </c>
      <c r="H41">
        <v>0.11</v>
      </c>
      <c r="J41">
        <v>0.08</v>
      </c>
      <c r="K41">
        <v>0.35</v>
      </c>
      <c r="L41">
        <v>0.16</v>
      </c>
      <c r="M41">
        <v>0.08</v>
      </c>
      <c r="N41">
        <v>0.3</v>
      </c>
      <c r="O41">
        <v>0.03</v>
      </c>
      <c r="Q41">
        <v>0.14000000000000001</v>
      </c>
      <c r="R41">
        <v>0.35</v>
      </c>
      <c r="S41">
        <v>0</v>
      </c>
      <c r="T41">
        <v>0.05</v>
      </c>
      <c r="U41">
        <v>0.16</v>
      </c>
      <c r="V41">
        <v>0.3</v>
      </c>
      <c r="X41">
        <v>0.19</v>
      </c>
      <c r="Y41">
        <v>0.27</v>
      </c>
      <c r="Z41">
        <v>0.14000000000000001</v>
      </c>
      <c r="AA41">
        <v>0.08</v>
      </c>
      <c r="AB41">
        <v>0.22</v>
      </c>
      <c r="AC41">
        <v>0.11</v>
      </c>
      <c r="AE41">
        <v>0.19</v>
      </c>
      <c r="AF41">
        <v>0.38</v>
      </c>
      <c r="AG41">
        <v>0.11</v>
      </c>
      <c r="AH41">
        <v>0</v>
      </c>
      <c r="AI41">
        <v>0.22</v>
      </c>
      <c r="AJ41">
        <v>0.11</v>
      </c>
      <c r="BT41">
        <v>0</v>
      </c>
    </row>
    <row r="42" spans="3:72" x14ac:dyDescent="0.25">
      <c r="C42">
        <v>0.09</v>
      </c>
      <c r="D42">
        <v>0</v>
      </c>
      <c r="E42">
        <v>0.45</v>
      </c>
      <c r="F42">
        <v>0</v>
      </c>
      <c r="G42">
        <v>0</v>
      </c>
      <c r="H42">
        <v>0.45</v>
      </c>
      <c r="J42">
        <v>0.09</v>
      </c>
      <c r="K42">
        <v>0</v>
      </c>
      <c r="L42">
        <v>0</v>
      </c>
      <c r="M42">
        <v>0.09</v>
      </c>
      <c r="N42">
        <v>0.09</v>
      </c>
      <c r="O42">
        <v>0.73</v>
      </c>
      <c r="Q42">
        <v>0.09</v>
      </c>
      <c r="R42">
        <v>0</v>
      </c>
      <c r="S42">
        <v>0</v>
      </c>
      <c r="T42">
        <v>0.09</v>
      </c>
      <c r="U42">
        <v>0</v>
      </c>
      <c r="V42">
        <v>0.82</v>
      </c>
      <c r="X42">
        <v>0.09</v>
      </c>
      <c r="Y42">
        <v>0.09</v>
      </c>
      <c r="Z42">
        <v>0.18</v>
      </c>
      <c r="AA42">
        <v>0</v>
      </c>
      <c r="AB42">
        <v>0</v>
      </c>
      <c r="AC42">
        <v>0.64</v>
      </c>
      <c r="AE42">
        <v>0.18</v>
      </c>
      <c r="AF42">
        <v>0</v>
      </c>
      <c r="AG42">
        <v>0.09</v>
      </c>
      <c r="AH42">
        <v>0</v>
      </c>
      <c r="AI42">
        <v>0</v>
      </c>
      <c r="AJ42">
        <v>0.73</v>
      </c>
      <c r="BT42">
        <v>0</v>
      </c>
    </row>
    <row r="43" spans="3:72" x14ac:dyDescent="0.25"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BT43">
        <v>0</v>
      </c>
    </row>
    <row r="44" spans="3:72" x14ac:dyDescent="0.25">
      <c r="C44">
        <v>0.55000000000000004</v>
      </c>
      <c r="D44">
        <v>114</v>
      </c>
      <c r="E44">
        <v>0</v>
      </c>
      <c r="F44">
        <v>0</v>
      </c>
      <c r="G44">
        <v>0</v>
      </c>
      <c r="H44">
        <v>0</v>
      </c>
      <c r="J44">
        <v>0.52</v>
      </c>
      <c r="K44">
        <v>118</v>
      </c>
      <c r="L44">
        <v>0</v>
      </c>
      <c r="M44">
        <v>0</v>
      </c>
      <c r="N44">
        <v>0</v>
      </c>
      <c r="O44">
        <v>0</v>
      </c>
      <c r="Q44">
        <v>0.56999999999999995</v>
      </c>
      <c r="R44">
        <v>118</v>
      </c>
      <c r="S44">
        <v>0</v>
      </c>
      <c r="T44">
        <v>0</v>
      </c>
      <c r="U44">
        <v>0</v>
      </c>
      <c r="V44">
        <v>0</v>
      </c>
      <c r="X44">
        <v>0.54</v>
      </c>
      <c r="Y44">
        <v>118</v>
      </c>
      <c r="Z44">
        <v>0</v>
      </c>
      <c r="AA44">
        <v>0</v>
      </c>
      <c r="AB44">
        <v>0</v>
      </c>
      <c r="AC44">
        <v>0</v>
      </c>
      <c r="AE44">
        <v>0.54</v>
      </c>
      <c r="AF44">
        <v>118</v>
      </c>
      <c r="AG44">
        <v>0</v>
      </c>
      <c r="AH44">
        <v>0</v>
      </c>
      <c r="AI44">
        <v>0</v>
      </c>
      <c r="AJ44">
        <v>0</v>
      </c>
      <c r="BT44">
        <v>0</v>
      </c>
    </row>
    <row r="45" spans="3:72" x14ac:dyDescent="0.25"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2007-2ED1-4BDE-814F-9B94CD0F8AC2}">
  <dimension ref="A1:BZ20"/>
  <sheetViews>
    <sheetView workbookViewId="0">
      <selection activeCell="D21" sqref="D21"/>
    </sheetView>
  </sheetViews>
  <sheetFormatPr defaultRowHeight="15" x14ac:dyDescent="0.25"/>
  <sheetData>
    <row r="1" spans="1:78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</row>
    <row r="2" spans="1:78" x14ac:dyDescent="0.25">
      <c r="A2" t="s">
        <v>0</v>
      </c>
      <c r="B2" s="11">
        <f>AVERAGE(I2,P2,W2,AD2,AK2,AS2,AZ2,BG2,BN2,BU2)</f>
        <v>0.9850000000000001</v>
      </c>
      <c r="C2" s="12">
        <f>AVERAGE(J2,Q2,X2,AE2,AL2,AT2,BA2,BH2,BO2,BV2)</f>
        <v>0</v>
      </c>
      <c r="D2" s="12">
        <f>AVERAGE(K2,R2,Y2,AF2,AM2,AU2,BB2,BI2,BP2,BW2)</f>
        <v>1E-3</v>
      </c>
      <c r="E2" s="12">
        <f>AVERAGE(L2,S2,Z2,AG2,AN2,AV2,BC2,BJ2,BQ2,BX2)</f>
        <v>3.0000000000000001E-3</v>
      </c>
      <c r="F2" s="12">
        <f>AVERAGE(M2,T2,AA2,AH2,AO2,AW2,BD2,BK2,BR2,BY2)</f>
        <v>1E-3</v>
      </c>
      <c r="G2" s="12">
        <f>AVERAGE(N2,U2,AB2,AI2,AP2,AX2,BE2,BL2,BS2,BZ2)</f>
        <v>1.0999999999999999E-2</v>
      </c>
      <c r="I2" s="1">
        <v>1</v>
      </c>
      <c r="J2" s="1">
        <v>0</v>
      </c>
      <c r="K2" s="1">
        <v>0</v>
      </c>
      <c r="L2" s="1">
        <v>0</v>
      </c>
      <c r="M2" s="1">
        <v>0</v>
      </c>
      <c r="N2">
        <v>0</v>
      </c>
      <c r="P2">
        <v>1</v>
      </c>
      <c r="Q2">
        <v>0</v>
      </c>
      <c r="R2">
        <v>0</v>
      </c>
      <c r="S2">
        <v>0</v>
      </c>
      <c r="T2">
        <v>0</v>
      </c>
      <c r="U2">
        <v>0</v>
      </c>
      <c r="W2">
        <v>0.99</v>
      </c>
      <c r="X2">
        <v>0</v>
      </c>
      <c r="Y2">
        <v>0</v>
      </c>
      <c r="Z2">
        <v>0.01</v>
      </c>
      <c r="AA2">
        <v>0</v>
      </c>
      <c r="AB2">
        <v>0</v>
      </c>
      <c r="AD2">
        <v>0.99</v>
      </c>
      <c r="AE2">
        <v>0</v>
      </c>
      <c r="AF2">
        <v>0</v>
      </c>
      <c r="AG2">
        <v>0</v>
      </c>
      <c r="AH2">
        <v>0</v>
      </c>
      <c r="AI2">
        <v>0.01</v>
      </c>
      <c r="AK2">
        <v>0.98</v>
      </c>
      <c r="AL2">
        <v>0</v>
      </c>
      <c r="AM2">
        <v>0</v>
      </c>
      <c r="AN2">
        <v>0.01</v>
      </c>
      <c r="AO2">
        <v>0</v>
      </c>
      <c r="AP2">
        <v>0.01</v>
      </c>
      <c r="AQ2">
        <v>0.03</v>
      </c>
      <c r="AR2">
        <v>0</v>
      </c>
      <c r="AS2">
        <v>0.98</v>
      </c>
      <c r="AT2">
        <v>0</v>
      </c>
      <c r="AU2">
        <v>0</v>
      </c>
      <c r="AV2">
        <v>0</v>
      </c>
      <c r="AW2">
        <v>0</v>
      </c>
      <c r="AX2">
        <v>0.03</v>
      </c>
      <c r="AY2">
        <v>0</v>
      </c>
      <c r="AZ2">
        <v>0.98</v>
      </c>
      <c r="BA2">
        <v>0</v>
      </c>
      <c r="BB2">
        <v>0</v>
      </c>
      <c r="BC2">
        <v>0.01</v>
      </c>
      <c r="BD2">
        <v>0</v>
      </c>
      <c r="BE2">
        <v>0.01</v>
      </c>
      <c r="BF2">
        <v>0</v>
      </c>
      <c r="BG2">
        <v>0.99</v>
      </c>
      <c r="BH2">
        <v>0</v>
      </c>
      <c r="BI2">
        <v>0</v>
      </c>
      <c r="BJ2">
        <v>0</v>
      </c>
      <c r="BK2">
        <v>0</v>
      </c>
      <c r="BL2">
        <v>0.01</v>
      </c>
      <c r="BM2">
        <v>0</v>
      </c>
      <c r="BN2">
        <v>0.98</v>
      </c>
      <c r="BO2">
        <v>0</v>
      </c>
      <c r="BP2">
        <v>0.01</v>
      </c>
      <c r="BQ2">
        <v>0</v>
      </c>
      <c r="BR2">
        <v>0</v>
      </c>
      <c r="BS2">
        <v>0.01</v>
      </c>
      <c r="BT2">
        <v>0</v>
      </c>
      <c r="BU2">
        <v>0.96</v>
      </c>
      <c r="BV2">
        <v>0</v>
      </c>
      <c r="BW2">
        <v>0</v>
      </c>
      <c r="BX2">
        <v>0</v>
      </c>
      <c r="BY2">
        <v>0.01</v>
      </c>
      <c r="BZ2">
        <v>0.03</v>
      </c>
    </row>
    <row r="3" spans="1:78" x14ac:dyDescent="0.25">
      <c r="A3" t="s">
        <v>2</v>
      </c>
      <c r="B3" s="12">
        <f>AVERAGE(I3,P3,W3,AD3,AK3,AS3,AZ3,BG3,BN3,BU3)</f>
        <v>1E-3</v>
      </c>
      <c r="C3" s="11">
        <f>AVERAGE(J3,Q3,X3,AE3,AL3,AT3,BA3,BH3,BO3,BV3)</f>
        <v>0.97799999999999998</v>
      </c>
      <c r="D3" s="12">
        <f>AVERAGE(K3,R3,Y3,AF3,AM3,AU3,BB3,BI3,BP3,BW3)</f>
        <v>6.0000000000000001E-3</v>
      </c>
      <c r="E3" s="12">
        <f>AVERAGE(L3,S3,Z3,AG3,AN3,AV3,BC3,BJ3,BQ3,BX3)</f>
        <v>8.0000000000000002E-3</v>
      </c>
      <c r="F3" s="12">
        <f>AVERAGE(M3,T3,AA3,AH3,AO3,AW3,BD3,BK3,BR3,BY3)</f>
        <v>4.0000000000000001E-3</v>
      </c>
      <c r="G3" s="12">
        <f>AVERAGE(N3,U3,AB3,AI3,AP3,AX3,BE3,BL3,BS3,BZ3)</f>
        <v>0</v>
      </c>
      <c r="I3" s="11">
        <v>0</v>
      </c>
      <c r="J3" s="1">
        <v>0.97</v>
      </c>
      <c r="K3" s="1">
        <v>0.01</v>
      </c>
      <c r="L3" s="1">
        <v>0.01</v>
      </c>
      <c r="M3" s="1">
        <v>0</v>
      </c>
      <c r="N3">
        <v>0</v>
      </c>
      <c r="P3">
        <v>0</v>
      </c>
      <c r="Q3">
        <v>0.99</v>
      </c>
      <c r="R3">
        <v>0</v>
      </c>
      <c r="S3">
        <v>0.01</v>
      </c>
      <c r="T3">
        <v>0</v>
      </c>
      <c r="U3">
        <v>0</v>
      </c>
      <c r="W3">
        <v>0</v>
      </c>
      <c r="X3">
        <v>0.97</v>
      </c>
      <c r="Y3">
        <v>0.01</v>
      </c>
      <c r="Z3">
        <v>0.01</v>
      </c>
      <c r="AA3">
        <v>0</v>
      </c>
      <c r="AB3">
        <v>0</v>
      </c>
      <c r="AD3">
        <v>0</v>
      </c>
      <c r="AE3">
        <v>0.97</v>
      </c>
      <c r="AF3">
        <v>0</v>
      </c>
      <c r="AG3">
        <v>0</v>
      </c>
      <c r="AH3">
        <v>0.03</v>
      </c>
      <c r="AI3">
        <v>0</v>
      </c>
      <c r="AK3">
        <v>0</v>
      </c>
      <c r="AL3">
        <v>0.99</v>
      </c>
      <c r="AM3">
        <v>0.01</v>
      </c>
      <c r="AN3">
        <v>0</v>
      </c>
      <c r="AO3">
        <v>0</v>
      </c>
      <c r="AP3">
        <v>0</v>
      </c>
      <c r="AQ3">
        <v>0</v>
      </c>
      <c r="AR3">
        <v>0</v>
      </c>
      <c r="AS3">
        <v>0.01</v>
      </c>
      <c r="AT3">
        <v>0.97</v>
      </c>
      <c r="AU3">
        <v>0</v>
      </c>
      <c r="AV3">
        <v>0.01</v>
      </c>
      <c r="AW3">
        <v>0</v>
      </c>
      <c r="AX3">
        <v>0</v>
      </c>
      <c r="AY3">
        <v>0</v>
      </c>
      <c r="AZ3">
        <v>0</v>
      </c>
      <c r="BA3">
        <v>0.96</v>
      </c>
      <c r="BB3">
        <v>0.03</v>
      </c>
      <c r="BC3">
        <v>0</v>
      </c>
      <c r="BD3">
        <v>0.01</v>
      </c>
      <c r="BE3">
        <v>0</v>
      </c>
      <c r="BF3">
        <v>0</v>
      </c>
      <c r="BG3">
        <v>0</v>
      </c>
      <c r="BH3">
        <v>0.97</v>
      </c>
      <c r="BI3">
        <v>0</v>
      </c>
      <c r="BJ3">
        <v>0.03</v>
      </c>
      <c r="BK3">
        <v>0</v>
      </c>
      <c r="BL3">
        <v>0</v>
      </c>
      <c r="BM3">
        <v>0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0.99</v>
      </c>
      <c r="BW3">
        <v>0</v>
      </c>
      <c r="BX3">
        <v>0.01</v>
      </c>
      <c r="BY3">
        <v>0</v>
      </c>
      <c r="BZ3">
        <v>0</v>
      </c>
    </row>
    <row r="4" spans="1:78" x14ac:dyDescent="0.25">
      <c r="A4" t="s">
        <v>1</v>
      </c>
      <c r="B4" s="12">
        <f>AVERAGE(I4,P4,W4,AD4,AK4,AS4,AZ4,BG4,BN4,BU4)</f>
        <v>2E-3</v>
      </c>
      <c r="C4" s="12">
        <f>AVERAGE(J4,Q4,X4,AE4,AL4,AT4,BA4,BH4,BO4,BV4)</f>
        <v>1.8000000000000002E-2</v>
      </c>
      <c r="D4" s="11">
        <f>AVERAGE(K4,R4,Y4,AF4,AM4,AU4,BB4,BI4,BP4,BW4)</f>
        <v>0.95299999999999996</v>
      </c>
      <c r="E4" s="12">
        <f>AVERAGE(L4,S4,Z4,AG4,AN4,AV4,BC4,BJ4,BQ4,BX4)</f>
        <v>2.4E-2</v>
      </c>
      <c r="F4" s="12">
        <f>AVERAGE(M4,T4,AA4,AH4,AO4,AW4,BD4,BK4,BR4,BY4)</f>
        <v>2E-3</v>
      </c>
      <c r="G4" s="12">
        <f>AVERAGE(N4,U4,AB4,AI4,AP4,AX4,BE4,BL4,BS4,BZ4)</f>
        <v>1E-3</v>
      </c>
      <c r="I4" s="1">
        <v>0</v>
      </c>
      <c r="J4" s="11">
        <v>0</v>
      </c>
      <c r="K4" s="1">
        <v>0.96</v>
      </c>
      <c r="L4" s="1">
        <v>0.04</v>
      </c>
      <c r="M4" s="1">
        <v>0</v>
      </c>
      <c r="N4">
        <v>0</v>
      </c>
      <c r="P4">
        <v>0</v>
      </c>
      <c r="Q4">
        <v>0.05</v>
      </c>
      <c r="R4">
        <v>0.92</v>
      </c>
      <c r="S4">
        <v>0.02</v>
      </c>
      <c r="T4">
        <v>0</v>
      </c>
      <c r="U4">
        <v>0.01</v>
      </c>
      <c r="W4">
        <v>0.01</v>
      </c>
      <c r="X4">
        <v>0.01</v>
      </c>
      <c r="Y4">
        <v>0.94</v>
      </c>
      <c r="Z4">
        <v>0.04</v>
      </c>
      <c r="AA4">
        <v>0</v>
      </c>
      <c r="AB4">
        <v>0</v>
      </c>
      <c r="AD4">
        <v>0</v>
      </c>
      <c r="AE4">
        <v>0</v>
      </c>
      <c r="AF4">
        <v>0.99</v>
      </c>
      <c r="AG4">
        <v>0.01</v>
      </c>
      <c r="AH4">
        <v>0</v>
      </c>
      <c r="AI4">
        <v>0</v>
      </c>
      <c r="AK4">
        <v>0</v>
      </c>
      <c r="AL4">
        <v>0.01</v>
      </c>
      <c r="AM4">
        <v>0.98</v>
      </c>
      <c r="AN4">
        <v>0.01</v>
      </c>
      <c r="AO4">
        <v>0</v>
      </c>
      <c r="AP4">
        <v>0</v>
      </c>
      <c r="AQ4">
        <v>0</v>
      </c>
      <c r="AR4">
        <v>0</v>
      </c>
      <c r="AS4">
        <v>0</v>
      </c>
      <c r="AT4">
        <v>0.05</v>
      </c>
      <c r="AU4">
        <v>0.91</v>
      </c>
      <c r="AV4">
        <v>0.04</v>
      </c>
      <c r="AW4">
        <v>0.01</v>
      </c>
      <c r="AX4">
        <v>0</v>
      </c>
      <c r="AY4">
        <v>0</v>
      </c>
      <c r="AZ4">
        <v>0</v>
      </c>
      <c r="BA4">
        <v>0</v>
      </c>
      <c r="BB4">
        <v>0.95</v>
      </c>
      <c r="BC4">
        <v>0.04</v>
      </c>
      <c r="BD4">
        <v>0.01</v>
      </c>
      <c r="BE4">
        <v>0</v>
      </c>
      <c r="BF4">
        <v>0</v>
      </c>
      <c r="BG4">
        <v>0.01</v>
      </c>
      <c r="BH4">
        <v>0.01</v>
      </c>
      <c r="BI4">
        <v>0.95</v>
      </c>
      <c r="BJ4">
        <v>0.02</v>
      </c>
      <c r="BK4">
        <v>0</v>
      </c>
      <c r="BL4">
        <v>0</v>
      </c>
      <c r="BM4">
        <v>0</v>
      </c>
      <c r="BN4">
        <v>0</v>
      </c>
      <c r="BO4">
        <v>0.04</v>
      </c>
      <c r="BP4">
        <v>0.95</v>
      </c>
      <c r="BQ4">
        <v>0.01</v>
      </c>
      <c r="BR4">
        <v>0</v>
      </c>
      <c r="BS4">
        <v>0</v>
      </c>
      <c r="BT4">
        <v>0</v>
      </c>
      <c r="BU4">
        <v>0</v>
      </c>
      <c r="BV4">
        <v>0.01</v>
      </c>
      <c r="BW4">
        <v>0.98</v>
      </c>
      <c r="BX4">
        <v>0.01</v>
      </c>
      <c r="BY4">
        <v>0</v>
      </c>
      <c r="BZ4">
        <v>0</v>
      </c>
    </row>
    <row r="5" spans="1:78" x14ac:dyDescent="0.25">
      <c r="A5" t="s">
        <v>3</v>
      </c>
      <c r="B5" s="12">
        <f>AVERAGE(I5,P5,W5,AD5,AK5,AS5,AZ5,BG5,BN5,BU5)</f>
        <v>8.299999999999999E-2</v>
      </c>
      <c r="C5" s="12">
        <f>AVERAGE(J5,Q5,X5,AE5,AL5,AT5,BA5,BH5,BO5,BV5)</f>
        <v>7.5999999999999984E-2</v>
      </c>
      <c r="D5" s="12">
        <f>AVERAGE(K5,R5,Y5,AF5,AM5,AU5,BB5,BI5,BP5,BW5)</f>
        <v>7.4999999999999997E-2</v>
      </c>
      <c r="E5" s="11">
        <f>AVERAGE(L5,S5,Z5,AG5,AN5,AV5,BC5,BJ5,BQ5,BX5)</f>
        <v>0.67500000000000004</v>
      </c>
      <c r="F5" s="12">
        <f>AVERAGE(M5,T5,AA5,AH5,AO5,AW5,BD5,BK5,BR5,BY5)</f>
        <v>2.8000000000000004E-2</v>
      </c>
      <c r="G5" s="12">
        <f>AVERAGE(N5,U5,AB5,AI5,AP5,AX5,BE5,BL5,BS5,BZ5)</f>
        <v>6.4999999999999988E-2</v>
      </c>
      <c r="I5" s="1">
        <v>0.08</v>
      </c>
      <c r="J5" s="1">
        <v>0.09</v>
      </c>
      <c r="K5" s="11">
        <v>0.06</v>
      </c>
      <c r="L5" s="1">
        <v>0.68</v>
      </c>
      <c r="M5" s="1">
        <v>0.03</v>
      </c>
      <c r="N5">
        <v>0.06</v>
      </c>
      <c r="P5">
        <v>0.08</v>
      </c>
      <c r="Q5">
        <v>0.06</v>
      </c>
      <c r="R5">
        <v>0.08</v>
      </c>
      <c r="S5">
        <v>0.68</v>
      </c>
      <c r="T5">
        <v>0.04</v>
      </c>
      <c r="U5">
        <v>0.06</v>
      </c>
      <c r="W5">
        <v>7.0000000000000007E-2</v>
      </c>
      <c r="X5">
        <v>0.08</v>
      </c>
      <c r="Y5">
        <v>0.08</v>
      </c>
      <c r="Z5">
        <v>0.68</v>
      </c>
      <c r="AA5">
        <v>0.03</v>
      </c>
      <c r="AB5">
        <v>7.0000000000000007E-2</v>
      </c>
      <c r="AD5">
        <v>7.0000000000000007E-2</v>
      </c>
      <c r="AE5">
        <v>7.0000000000000007E-2</v>
      </c>
      <c r="AF5">
        <v>7.0000000000000007E-2</v>
      </c>
      <c r="AG5">
        <v>0.7</v>
      </c>
      <c r="AH5">
        <v>0.04</v>
      </c>
      <c r="AI5">
        <v>0.06</v>
      </c>
      <c r="AK5">
        <v>0.08</v>
      </c>
      <c r="AL5">
        <v>7.0000000000000007E-2</v>
      </c>
      <c r="AM5">
        <v>7.0000000000000007E-2</v>
      </c>
      <c r="AN5">
        <v>0.71</v>
      </c>
      <c r="AO5">
        <v>0.01</v>
      </c>
      <c r="AP5">
        <v>7.0000000000000007E-2</v>
      </c>
      <c r="AQ5">
        <v>0.08</v>
      </c>
      <c r="AR5">
        <v>0</v>
      </c>
      <c r="AS5">
        <v>7.0000000000000007E-2</v>
      </c>
      <c r="AT5">
        <v>0.09</v>
      </c>
      <c r="AU5">
        <v>0.1</v>
      </c>
      <c r="AV5">
        <v>0.66</v>
      </c>
      <c r="AW5">
        <v>0.01</v>
      </c>
      <c r="AX5">
        <v>7.0000000000000007E-2</v>
      </c>
      <c r="AY5">
        <v>0</v>
      </c>
      <c r="AZ5">
        <v>0.1</v>
      </c>
      <c r="BA5">
        <v>0.08</v>
      </c>
      <c r="BB5">
        <v>7.0000000000000007E-2</v>
      </c>
      <c r="BC5">
        <v>0.69</v>
      </c>
      <c r="BD5">
        <v>0.02</v>
      </c>
      <c r="BE5">
        <v>0.04</v>
      </c>
      <c r="BF5">
        <v>0</v>
      </c>
      <c r="BG5">
        <v>0.08</v>
      </c>
      <c r="BH5">
        <v>0.06</v>
      </c>
      <c r="BI5">
        <v>0.06</v>
      </c>
      <c r="BJ5">
        <v>0.7</v>
      </c>
      <c r="BK5">
        <v>0.03</v>
      </c>
      <c r="BL5">
        <v>0.06</v>
      </c>
      <c r="BM5">
        <v>0</v>
      </c>
      <c r="BN5">
        <v>0.09</v>
      </c>
      <c r="BO5">
        <v>0.09</v>
      </c>
      <c r="BP5">
        <v>0.09</v>
      </c>
      <c r="BQ5">
        <v>0.62</v>
      </c>
      <c r="BR5">
        <v>0.03</v>
      </c>
      <c r="BS5">
        <v>0.08</v>
      </c>
      <c r="BT5">
        <v>0</v>
      </c>
      <c r="BU5">
        <v>0.11</v>
      </c>
      <c r="BV5">
        <v>7.0000000000000007E-2</v>
      </c>
      <c r="BW5">
        <v>7.0000000000000007E-2</v>
      </c>
      <c r="BX5">
        <v>0.63</v>
      </c>
      <c r="BY5">
        <v>0.04</v>
      </c>
      <c r="BZ5">
        <v>0.08</v>
      </c>
    </row>
    <row r="6" spans="1:78" x14ac:dyDescent="0.25">
      <c r="A6" t="s">
        <v>4</v>
      </c>
      <c r="B6" s="12">
        <f>AVERAGE(I6,P6,W6,AD6,AK6,AS6,AZ6,BG6,BN6,BU6)</f>
        <v>0.10300000000000001</v>
      </c>
      <c r="C6" s="12">
        <f>AVERAGE(J6,Q6,X6,AE6,AL6,AT6,BA6,BH6,BO6,BV6)</f>
        <v>0.15599999999999997</v>
      </c>
      <c r="D6" s="12">
        <f>AVERAGE(K6,R6,Y6,AF6,AM6,AU6,BB6,BI6,BP6,BW6)</f>
        <v>0.12000000000000002</v>
      </c>
      <c r="E6" s="12">
        <f>AVERAGE(L6,S6,Z6,AG6,AN6,AV6,BC6,BJ6,BQ6,BX6)</f>
        <v>0.13200000000000003</v>
      </c>
      <c r="F6" s="11">
        <f>AVERAGE(M6,T6,AA6,AH6,AO6,AW6,BD6,BK6,BR6,BY6)</f>
        <v>0.30599999999999999</v>
      </c>
      <c r="G6" s="12">
        <f>AVERAGE(N6,U6,AB6,AI6,AP6,AX6,BE6,BL6,BS6,BZ6)</f>
        <v>0.18699999999999997</v>
      </c>
      <c r="I6" s="1">
        <v>0.09</v>
      </c>
      <c r="J6" s="1">
        <v>0.14000000000000001</v>
      </c>
      <c r="K6" s="1">
        <v>0.11</v>
      </c>
      <c r="L6" s="11">
        <v>0.13</v>
      </c>
      <c r="M6" s="1">
        <v>0.35</v>
      </c>
      <c r="N6">
        <v>0.18</v>
      </c>
      <c r="P6">
        <v>0.11</v>
      </c>
      <c r="Q6">
        <v>0.13</v>
      </c>
      <c r="R6">
        <v>0.13</v>
      </c>
      <c r="S6">
        <v>0.13</v>
      </c>
      <c r="T6">
        <v>0.32</v>
      </c>
      <c r="U6">
        <v>0.19</v>
      </c>
      <c r="W6">
        <v>0.1</v>
      </c>
      <c r="X6">
        <v>0.16</v>
      </c>
      <c r="Y6">
        <v>0.12</v>
      </c>
      <c r="Z6">
        <v>0.13</v>
      </c>
      <c r="AA6">
        <v>0.31</v>
      </c>
      <c r="AB6">
        <v>0.18</v>
      </c>
      <c r="AD6">
        <v>0.11</v>
      </c>
      <c r="AE6">
        <v>0.15</v>
      </c>
      <c r="AF6">
        <v>0.14000000000000001</v>
      </c>
      <c r="AG6">
        <v>0.15</v>
      </c>
      <c r="AH6">
        <v>0.28000000000000003</v>
      </c>
      <c r="AI6">
        <v>0.19</v>
      </c>
      <c r="AK6">
        <v>0.11</v>
      </c>
      <c r="AL6">
        <v>0.15</v>
      </c>
      <c r="AM6">
        <v>0.11</v>
      </c>
      <c r="AN6">
        <v>0.12</v>
      </c>
      <c r="AO6">
        <v>0.32</v>
      </c>
      <c r="AP6">
        <v>0.19</v>
      </c>
      <c r="AQ6">
        <v>0.16</v>
      </c>
      <c r="AR6">
        <v>0</v>
      </c>
      <c r="AS6">
        <v>0.12</v>
      </c>
      <c r="AT6">
        <v>0.19</v>
      </c>
      <c r="AU6">
        <v>0.12</v>
      </c>
      <c r="AV6">
        <v>0.14000000000000001</v>
      </c>
      <c r="AW6">
        <v>0.23</v>
      </c>
      <c r="AX6">
        <v>0.21</v>
      </c>
      <c r="AY6">
        <v>0</v>
      </c>
      <c r="AZ6">
        <v>0.11</v>
      </c>
      <c r="BA6">
        <v>0.15</v>
      </c>
      <c r="BB6">
        <v>0.14000000000000001</v>
      </c>
      <c r="BC6">
        <v>0.16</v>
      </c>
      <c r="BD6">
        <v>0.25</v>
      </c>
      <c r="BE6">
        <v>0.19</v>
      </c>
      <c r="BF6">
        <v>0</v>
      </c>
      <c r="BG6">
        <v>0.09</v>
      </c>
      <c r="BH6">
        <v>0.15</v>
      </c>
      <c r="BI6">
        <v>0.1</v>
      </c>
      <c r="BJ6">
        <v>0.15</v>
      </c>
      <c r="BK6">
        <v>0.32</v>
      </c>
      <c r="BL6">
        <v>0.19</v>
      </c>
      <c r="BM6">
        <v>0</v>
      </c>
      <c r="BN6">
        <v>0.09</v>
      </c>
      <c r="BO6">
        <v>0.17</v>
      </c>
      <c r="BP6">
        <v>0.11</v>
      </c>
      <c r="BQ6">
        <v>0.11</v>
      </c>
      <c r="BR6">
        <v>0.33</v>
      </c>
      <c r="BS6">
        <v>0.19</v>
      </c>
      <c r="BT6">
        <v>0</v>
      </c>
      <c r="BU6">
        <v>0.1</v>
      </c>
      <c r="BV6">
        <v>0.17</v>
      </c>
      <c r="BW6">
        <v>0.12</v>
      </c>
      <c r="BX6">
        <v>0.1</v>
      </c>
      <c r="BY6">
        <v>0.35</v>
      </c>
      <c r="BZ6">
        <v>0.16</v>
      </c>
    </row>
    <row r="7" spans="1:78" x14ac:dyDescent="0.25">
      <c r="A7" t="s">
        <v>5</v>
      </c>
      <c r="B7" s="12">
        <f>AVERAGE(I7,P7,W7,AD7,AK7,AS7,AZ7,BG7,BN7,BU7)</f>
        <v>2.2000000000000002E-2</v>
      </c>
      <c r="C7" s="12">
        <f>AVERAGE(J7,Q7,X7,AE7,AL7,AT7,BA7,BH7,BO7,BV7)</f>
        <v>5.0000000000000001E-3</v>
      </c>
      <c r="D7" s="12">
        <f>AVERAGE(K7,R7,Y7,AF7,AM7,AU7,BB7,BI7,BP7,BW7)</f>
        <v>8.0000000000000002E-3</v>
      </c>
      <c r="E7" s="12">
        <f>AVERAGE(L7,S7,Z7,AG7,AN7,AV7,BC7,BJ7,BQ7,BX7)</f>
        <v>7.000000000000001E-3</v>
      </c>
      <c r="F7" s="12">
        <f>AVERAGE(M7,T7,AA7,AH7,AO7,AW7,BD7,BK7,BR7,BY7)</f>
        <v>3.0000000000000001E-3</v>
      </c>
      <c r="G7" s="11">
        <f>AVERAGE(N7,U7,AB7,AI7,AP7,AX7,BE7,BL7,BS7,BZ7)</f>
        <v>0.95500000000000007</v>
      </c>
      <c r="I7" s="1">
        <v>0</v>
      </c>
      <c r="J7" s="1">
        <v>0</v>
      </c>
      <c r="K7" s="1">
        <v>0.02</v>
      </c>
      <c r="L7" s="1">
        <v>0.03</v>
      </c>
      <c r="M7" s="11">
        <v>0.01</v>
      </c>
      <c r="N7">
        <v>0.94</v>
      </c>
      <c r="P7">
        <v>0.01</v>
      </c>
      <c r="Q7">
        <v>0</v>
      </c>
      <c r="R7">
        <v>0.01</v>
      </c>
      <c r="S7">
        <v>0</v>
      </c>
      <c r="T7">
        <v>0</v>
      </c>
      <c r="U7">
        <v>0.98</v>
      </c>
      <c r="W7">
        <v>0.01</v>
      </c>
      <c r="X7">
        <v>0.02</v>
      </c>
      <c r="Y7">
        <v>0.01</v>
      </c>
      <c r="Z7">
        <v>0</v>
      </c>
      <c r="AA7">
        <v>0</v>
      </c>
      <c r="AB7">
        <v>0.96</v>
      </c>
      <c r="AD7">
        <v>0</v>
      </c>
      <c r="AE7">
        <v>0.01</v>
      </c>
      <c r="AF7">
        <v>0.01</v>
      </c>
      <c r="AG7">
        <v>0</v>
      </c>
      <c r="AH7">
        <v>0</v>
      </c>
      <c r="AI7">
        <v>0.98</v>
      </c>
      <c r="AK7">
        <v>0.05</v>
      </c>
      <c r="AL7">
        <v>0</v>
      </c>
      <c r="AM7">
        <v>0.01</v>
      </c>
      <c r="AN7">
        <v>0</v>
      </c>
      <c r="AO7">
        <v>0.01</v>
      </c>
      <c r="AP7">
        <v>0.93</v>
      </c>
      <c r="AQ7">
        <v>0.93</v>
      </c>
      <c r="AR7">
        <v>0</v>
      </c>
      <c r="AS7">
        <v>0.02</v>
      </c>
      <c r="AT7">
        <v>0.02</v>
      </c>
      <c r="AU7">
        <v>0</v>
      </c>
      <c r="AV7">
        <v>0</v>
      </c>
      <c r="AW7">
        <v>0.01</v>
      </c>
      <c r="AX7">
        <v>0.95</v>
      </c>
      <c r="AY7">
        <v>0</v>
      </c>
      <c r="AZ7">
        <v>0.01</v>
      </c>
      <c r="BA7">
        <v>0</v>
      </c>
      <c r="BB7">
        <v>0</v>
      </c>
      <c r="BC7">
        <v>0.01</v>
      </c>
      <c r="BD7">
        <v>0</v>
      </c>
      <c r="BE7">
        <v>0.98</v>
      </c>
      <c r="BF7">
        <v>0</v>
      </c>
      <c r="BG7">
        <v>0.03</v>
      </c>
      <c r="BH7">
        <v>0</v>
      </c>
      <c r="BI7">
        <v>0</v>
      </c>
      <c r="BJ7">
        <v>0.01</v>
      </c>
      <c r="BK7">
        <v>0</v>
      </c>
      <c r="BL7">
        <v>0.96</v>
      </c>
      <c r="BM7">
        <v>0</v>
      </c>
      <c r="BN7">
        <v>0.04</v>
      </c>
      <c r="BO7">
        <v>0</v>
      </c>
      <c r="BP7">
        <v>0.01</v>
      </c>
      <c r="BQ7">
        <v>0.01</v>
      </c>
      <c r="BR7">
        <v>0</v>
      </c>
      <c r="BS7">
        <v>0.94</v>
      </c>
      <c r="BT7">
        <v>0</v>
      </c>
      <c r="BU7">
        <v>0.05</v>
      </c>
      <c r="BV7">
        <v>0</v>
      </c>
      <c r="BW7">
        <v>0.01</v>
      </c>
      <c r="BX7">
        <v>0.01</v>
      </c>
      <c r="BY7">
        <v>0</v>
      </c>
      <c r="BZ7">
        <v>0.93</v>
      </c>
    </row>
    <row r="8" spans="1:78" x14ac:dyDescent="0.25">
      <c r="B8" s="1"/>
      <c r="C8" s="1"/>
      <c r="D8" s="1"/>
      <c r="E8" s="1"/>
      <c r="F8" s="1"/>
      <c r="G8" s="1"/>
      <c r="I8" s="1"/>
      <c r="J8" s="1"/>
      <c r="K8" s="1"/>
      <c r="L8" s="1"/>
      <c r="M8" s="1"/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</row>
    <row r="9" spans="1:78" x14ac:dyDescent="0.25">
      <c r="B9" s="11">
        <f>AVERAGE(I9,P9,W9,AD9,AK9,AS9,AZ9,BG9,BN9,BU9)</f>
        <v>0.80700000000000005</v>
      </c>
      <c r="C9" s="1"/>
      <c r="D9" s="1"/>
      <c r="E9" s="1"/>
      <c r="F9" s="1"/>
      <c r="G9" s="1"/>
      <c r="I9" s="1">
        <v>0.82</v>
      </c>
      <c r="J9" s="1">
        <v>1052</v>
      </c>
      <c r="K9" s="1"/>
      <c r="L9" s="1"/>
      <c r="M9" s="1"/>
      <c r="P9">
        <v>0.81</v>
      </c>
      <c r="Q9">
        <v>1048</v>
      </c>
      <c r="W9">
        <v>0.81</v>
      </c>
      <c r="X9">
        <v>1048</v>
      </c>
      <c r="AD9">
        <v>0.82</v>
      </c>
      <c r="AE9">
        <v>1048</v>
      </c>
      <c r="AK9">
        <v>0.81</v>
      </c>
      <c r="AL9">
        <v>1048</v>
      </c>
      <c r="AQ9">
        <v>0</v>
      </c>
      <c r="AR9">
        <v>0</v>
      </c>
      <c r="AS9">
        <v>0.78</v>
      </c>
      <c r="AT9">
        <v>1049</v>
      </c>
      <c r="AU9">
        <v>0</v>
      </c>
      <c r="AV9">
        <v>0</v>
      </c>
      <c r="AW9">
        <v>0</v>
      </c>
      <c r="AX9">
        <v>0</v>
      </c>
      <c r="AY9">
        <v>0</v>
      </c>
      <c r="AZ9">
        <v>0.8</v>
      </c>
      <c r="BA9">
        <v>1050</v>
      </c>
      <c r="BB9">
        <v>0</v>
      </c>
      <c r="BC9">
        <v>0</v>
      </c>
      <c r="BD9">
        <v>0</v>
      </c>
      <c r="BE9">
        <v>0</v>
      </c>
      <c r="BF9">
        <v>0</v>
      </c>
      <c r="BG9">
        <v>0.82</v>
      </c>
      <c r="BH9">
        <v>1051</v>
      </c>
      <c r="BI9">
        <v>0</v>
      </c>
      <c r="BJ9">
        <v>0</v>
      </c>
      <c r="BK9">
        <v>0</v>
      </c>
      <c r="BL9">
        <v>0</v>
      </c>
      <c r="BM9">
        <v>0</v>
      </c>
      <c r="BN9">
        <v>0.8</v>
      </c>
      <c r="BO9">
        <v>1051</v>
      </c>
      <c r="BP9">
        <v>0</v>
      </c>
      <c r="BQ9">
        <v>0</v>
      </c>
      <c r="BR9">
        <v>0</v>
      </c>
      <c r="BS9">
        <v>0</v>
      </c>
      <c r="BT9">
        <v>0</v>
      </c>
      <c r="BU9">
        <v>0.8</v>
      </c>
      <c r="BV9">
        <v>1049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"/>
      <c r="C10" s="1"/>
      <c r="D10" s="1"/>
      <c r="E10" s="1"/>
      <c r="F10" s="1"/>
      <c r="G10" s="1"/>
      <c r="I10" s="1"/>
      <c r="J10" s="1"/>
      <c r="K10" s="1"/>
      <c r="L10" s="1"/>
      <c r="M10" s="1"/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t="s">
        <v>0</v>
      </c>
      <c r="C12" t="s">
        <v>2</v>
      </c>
      <c r="D12" t="s">
        <v>1</v>
      </c>
      <c r="E12" t="s">
        <v>3</v>
      </c>
      <c r="F12" t="s">
        <v>4</v>
      </c>
      <c r="G12" t="s">
        <v>5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A13" t="s">
        <v>0</v>
      </c>
      <c r="B13" s="11">
        <f>AVERAGE(I13,P13,W13,AD13,AK13,AS13,AZ13,BG13,BN13,BU13)</f>
        <v>0.64499999999999991</v>
      </c>
      <c r="C13" s="12">
        <f>AVERAGE(J13,Q13,X13,AE13,AL13,AT13,BA13,BH13,BO13,BV13)</f>
        <v>1.0999999999999999E-2</v>
      </c>
      <c r="D13" s="12">
        <f>AVERAGE(K13,R13,Y13,AF13,AM13,AU13,BB13,BI13,BP13,BW13)</f>
        <v>2.1999999999999999E-2</v>
      </c>
      <c r="E13" s="12">
        <f>AVERAGE(L13,S13,Z13,AG13,AN13,AV13,BC13,BJ13,BQ13,BX13)</f>
        <v>8.7999999999999995E-2</v>
      </c>
      <c r="F13" s="12">
        <f>AVERAGE(M13,T13,AA13,AH13,AO13,AW13,BD13,BK13,BR13,BY13)</f>
        <v>3.3000000000000002E-2</v>
      </c>
      <c r="G13" s="12">
        <f>AVERAGE(N13,U13,AB13,AI13,AP13,AX13,BE13,BL13,BS13,BZ13)</f>
        <v>0.20099999999999998</v>
      </c>
      <c r="I13" s="1">
        <v>0.88</v>
      </c>
      <c r="J13" s="1">
        <v>0</v>
      </c>
      <c r="K13" s="1">
        <v>0</v>
      </c>
      <c r="L13" s="1">
        <v>0</v>
      </c>
      <c r="M13" s="1">
        <v>0</v>
      </c>
      <c r="N13">
        <v>0.13</v>
      </c>
      <c r="P13">
        <v>0.67</v>
      </c>
      <c r="Q13">
        <v>0</v>
      </c>
      <c r="R13">
        <v>0</v>
      </c>
      <c r="S13">
        <v>0</v>
      </c>
      <c r="T13">
        <v>0.11</v>
      </c>
      <c r="U13">
        <v>0.22</v>
      </c>
      <c r="W13">
        <v>0.89</v>
      </c>
      <c r="X13">
        <v>0</v>
      </c>
      <c r="Y13">
        <v>0</v>
      </c>
      <c r="Z13">
        <v>0.11</v>
      </c>
      <c r="AA13">
        <v>0</v>
      </c>
      <c r="AB13">
        <v>0</v>
      </c>
      <c r="AD13">
        <v>0.67</v>
      </c>
      <c r="AE13">
        <v>0</v>
      </c>
      <c r="AF13">
        <v>0</v>
      </c>
      <c r="AG13">
        <v>0</v>
      </c>
      <c r="AH13">
        <v>0.11</v>
      </c>
      <c r="AI13">
        <v>0.22</v>
      </c>
      <c r="AK13">
        <v>0.67</v>
      </c>
      <c r="AL13">
        <v>0</v>
      </c>
      <c r="AM13">
        <v>0</v>
      </c>
      <c r="AN13">
        <v>0.11</v>
      </c>
      <c r="AO13">
        <v>0</v>
      </c>
      <c r="AP13">
        <v>0.22</v>
      </c>
      <c r="AQ13">
        <v>0.11</v>
      </c>
      <c r="AR13">
        <v>0</v>
      </c>
      <c r="AS13">
        <v>0.78</v>
      </c>
      <c r="AT13">
        <v>0.11</v>
      </c>
      <c r="AU13">
        <v>0</v>
      </c>
      <c r="AV13">
        <v>0</v>
      </c>
      <c r="AW13">
        <v>0</v>
      </c>
      <c r="AX13">
        <v>0.11</v>
      </c>
      <c r="AY13">
        <v>0</v>
      </c>
      <c r="AZ13">
        <v>0.56000000000000005</v>
      </c>
      <c r="BA13">
        <v>0</v>
      </c>
      <c r="BB13">
        <v>0</v>
      </c>
      <c r="BC13">
        <v>0.11</v>
      </c>
      <c r="BD13">
        <v>0.11</v>
      </c>
      <c r="BE13">
        <v>0.22</v>
      </c>
      <c r="BF13">
        <v>0</v>
      </c>
      <c r="BG13">
        <v>0.33</v>
      </c>
      <c r="BH13">
        <v>0</v>
      </c>
      <c r="BI13">
        <v>0</v>
      </c>
      <c r="BJ13">
        <v>0.11</v>
      </c>
      <c r="BK13">
        <v>0</v>
      </c>
      <c r="BL13">
        <v>0.56000000000000005</v>
      </c>
      <c r="BM13">
        <v>0</v>
      </c>
      <c r="BN13">
        <v>0.44</v>
      </c>
      <c r="BO13">
        <v>0</v>
      </c>
      <c r="BP13">
        <v>0.11</v>
      </c>
      <c r="BQ13">
        <v>0.22</v>
      </c>
      <c r="BR13">
        <v>0</v>
      </c>
      <c r="BS13">
        <v>0.22</v>
      </c>
      <c r="BT13">
        <v>0</v>
      </c>
      <c r="BU13">
        <v>0.56000000000000005</v>
      </c>
      <c r="BV13">
        <v>0</v>
      </c>
      <c r="BW13">
        <v>0.11</v>
      </c>
      <c r="BX13">
        <v>0.22</v>
      </c>
      <c r="BY13">
        <v>0</v>
      </c>
      <c r="BZ13">
        <v>0.11</v>
      </c>
    </row>
    <row r="14" spans="1:78" x14ac:dyDescent="0.25">
      <c r="A14" t="s">
        <v>2</v>
      </c>
      <c r="B14" s="12">
        <f>AVERAGE(I14,P14,W14,AD14,AK14,AS14,AZ14,BG14,BN14,BU14)</f>
        <v>0.05</v>
      </c>
      <c r="C14" s="11">
        <f>AVERAGE(J14,Q14,X14,AE14,AL14,AT14,BA14,BH14,BO14,BV14)</f>
        <v>0.5159999999999999</v>
      </c>
      <c r="D14" s="12">
        <f>AVERAGE(K14,R14,Y14,AF14,AM14,AU14,BB14,BI14,BP14,BW14)</f>
        <v>0.27900000000000003</v>
      </c>
      <c r="E14" s="12">
        <f>AVERAGE(L14,S14,Z14,AG14,AN14,AV14,BC14,BJ14,BQ14,BX14)</f>
        <v>0.10500000000000001</v>
      </c>
      <c r="F14" s="12">
        <f>AVERAGE(M14,T14,AA14,AH14,AO14,AW14,BD14,BK14,BR14,BY14)</f>
        <v>2.7000000000000003E-2</v>
      </c>
      <c r="G14" s="12">
        <f>AVERAGE(N14,U14,AB14,AI14,AP14,AX14,BE14,BL14,BS14,BZ14)</f>
        <v>2.7000000000000003E-2</v>
      </c>
      <c r="I14" s="11">
        <v>0</v>
      </c>
      <c r="J14" s="1">
        <v>0.43</v>
      </c>
      <c r="K14" s="1">
        <v>0.43</v>
      </c>
      <c r="L14" s="1">
        <v>0.14000000000000001</v>
      </c>
      <c r="M14" s="1">
        <v>0</v>
      </c>
      <c r="N14">
        <v>0</v>
      </c>
      <c r="P14">
        <v>0.25</v>
      </c>
      <c r="Q14">
        <v>0.25</v>
      </c>
      <c r="R14">
        <v>0.13</v>
      </c>
      <c r="S14">
        <v>0.25</v>
      </c>
      <c r="T14">
        <v>0</v>
      </c>
      <c r="U14">
        <v>0.13</v>
      </c>
      <c r="W14">
        <v>0</v>
      </c>
      <c r="X14">
        <v>0.5</v>
      </c>
      <c r="Y14">
        <v>0.38</v>
      </c>
      <c r="Z14">
        <v>0.13</v>
      </c>
      <c r="AA14">
        <v>0</v>
      </c>
      <c r="AB14">
        <v>0</v>
      </c>
      <c r="AD14">
        <v>0</v>
      </c>
      <c r="AE14">
        <v>0.5</v>
      </c>
      <c r="AF14">
        <v>0.25</v>
      </c>
      <c r="AG14">
        <v>0.13</v>
      </c>
      <c r="AH14">
        <v>0.13</v>
      </c>
      <c r="AI14">
        <v>0</v>
      </c>
      <c r="AK14">
        <v>0.25</v>
      </c>
      <c r="AL14">
        <v>0.5</v>
      </c>
      <c r="AM14">
        <v>0.25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0.5</v>
      </c>
      <c r="AU14">
        <v>0.38</v>
      </c>
      <c r="AV14">
        <v>0.13</v>
      </c>
      <c r="AW14">
        <v>0</v>
      </c>
      <c r="AX14">
        <v>0</v>
      </c>
      <c r="AY14">
        <v>0</v>
      </c>
      <c r="AZ14">
        <v>0</v>
      </c>
      <c r="BA14">
        <v>0.43</v>
      </c>
      <c r="BB14">
        <v>0.28999999999999998</v>
      </c>
      <c r="BC14">
        <v>0.14000000000000001</v>
      </c>
      <c r="BD14">
        <v>0.14000000000000001</v>
      </c>
      <c r="BE14">
        <v>0</v>
      </c>
      <c r="BF14">
        <v>0</v>
      </c>
      <c r="BG14">
        <v>0</v>
      </c>
      <c r="BH14">
        <v>0.71</v>
      </c>
      <c r="BI14">
        <v>0.28999999999999998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0.71</v>
      </c>
      <c r="BP14">
        <v>0.14000000000000001</v>
      </c>
      <c r="BQ14">
        <v>0</v>
      </c>
      <c r="BR14">
        <v>0</v>
      </c>
      <c r="BS14">
        <v>0.14000000000000001</v>
      </c>
      <c r="BT14">
        <v>0</v>
      </c>
      <c r="BU14">
        <v>0</v>
      </c>
      <c r="BV14">
        <v>0.63</v>
      </c>
      <c r="BW14">
        <v>0.25</v>
      </c>
      <c r="BX14">
        <v>0.13</v>
      </c>
      <c r="BY14">
        <v>0</v>
      </c>
      <c r="BZ14">
        <v>0</v>
      </c>
    </row>
    <row r="15" spans="1:78" x14ac:dyDescent="0.25">
      <c r="A15" t="s">
        <v>1</v>
      </c>
      <c r="B15" s="12">
        <f>AVERAGE(I15,P15,W15,AD15,AK15,AS15,AZ15,BG15,BN15,BU15)</f>
        <v>5.2000000000000005E-2</v>
      </c>
      <c r="C15" s="12">
        <f>AVERAGE(J15,Q15,X15,AE15,AL15,AT15,BA15,BH15,BO15,BV15)</f>
        <v>0.30399999999999999</v>
      </c>
      <c r="D15" s="11">
        <f>AVERAGE(K15,R15,Y15,AF15,AM15,AU15,BB15,BI15,BP15,BW15)</f>
        <v>0.39400000000000002</v>
      </c>
      <c r="E15" s="12">
        <f>AVERAGE(L15,S15,Z15,AG15,AN15,AV15,BC15,BJ15,BQ15,BX15)</f>
        <v>0.16900000000000001</v>
      </c>
      <c r="F15" s="12">
        <f>AVERAGE(M15,T15,AA15,AH15,AO15,AW15,BD15,BK15,BR15,BY15)</f>
        <v>3.3000000000000002E-2</v>
      </c>
      <c r="G15" s="12">
        <f>AVERAGE(N15,U15,AB15,AI15,AP15,AX15,BE15,BL15,BS15,BZ15)</f>
        <v>4.3999999999999997E-2</v>
      </c>
      <c r="I15" s="1">
        <v>0</v>
      </c>
      <c r="J15" s="11">
        <v>0.22</v>
      </c>
      <c r="K15" s="1">
        <v>0.67</v>
      </c>
      <c r="L15" s="1">
        <v>0</v>
      </c>
      <c r="M15" s="1">
        <v>0.11</v>
      </c>
      <c r="N15">
        <v>0</v>
      </c>
      <c r="P15">
        <v>0.1</v>
      </c>
      <c r="Q15">
        <v>0.4</v>
      </c>
      <c r="R15">
        <v>0.2</v>
      </c>
      <c r="S15">
        <v>0.3</v>
      </c>
      <c r="T15">
        <v>0</v>
      </c>
      <c r="U15">
        <v>0</v>
      </c>
      <c r="W15">
        <v>0</v>
      </c>
      <c r="X15">
        <v>0.6</v>
      </c>
      <c r="Y15">
        <v>0.4</v>
      </c>
      <c r="Z15">
        <v>0</v>
      </c>
      <c r="AA15">
        <v>0</v>
      </c>
      <c r="AB15">
        <v>0</v>
      </c>
      <c r="AD15">
        <v>0</v>
      </c>
      <c r="AE15">
        <v>0.3</v>
      </c>
      <c r="AF15">
        <v>0.5</v>
      </c>
      <c r="AG15">
        <v>0.2</v>
      </c>
      <c r="AH15">
        <v>0</v>
      </c>
      <c r="AI15">
        <v>0</v>
      </c>
      <c r="AK15">
        <v>0.2</v>
      </c>
      <c r="AL15">
        <v>0.2</v>
      </c>
      <c r="AM15">
        <v>0.4</v>
      </c>
      <c r="AN15">
        <v>0.2</v>
      </c>
      <c r="AO15">
        <v>0</v>
      </c>
      <c r="AP15">
        <v>0</v>
      </c>
      <c r="AQ15">
        <v>0.11</v>
      </c>
      <c r="AR15">
        <v>0</v>
      </c>
      <c r="AS15">
        <v>0.11</v>
      </c>
      <c r="AT15">
        <v>0.22</v>
      </c>
      <c r="AU15">
        <v>0.33</v>
      </c>
      <c r="AV15">
        <v>0.11</v>
      </c>
      <c r="AW15">
        <v>0</v>
      </c>
      <c r="AX15">
        <v>0.22</v>
      </c>
      <c r="AY15">
        <v>0</v>
      </c>
      <c r="AZ15">
        <v>0</v>
      </c>
      <c r="BA15">
        <v>0.11</v>
      </c>
      <c r="BB15">
        <v>0.22</v>
      </c>
      <c r="BC15">
        <v>0.44</v>
      </c>
      <c r="BD15">
        <v>0.22</v>
      </c>
      <c r="BE15">
        <v>0</v>
      </c>
      <c r="BF15">
        <v>0</v>
      </c>
      <c r="BG15">
        <v>0.11</v>
      </c>
      <c r="BH15">
        <v>0.33</v>
      </c>
      <c r="BI15">
        <v>0.22</v>
      </c>
      <c r="BJ15">
        <v>0.33</v>
      </c>
      <c r="BK15">
        <v>0</v>
      </c>
      <c r="BL15">
        <v>0</v>
      </c>
      <c r="BM15">
        <v>0</v>
      </c>
      <c r="BN15">
        <v>0</v>
      </c>
      <c r="BO15">
        <v>0.33</v>
      </c>
      <c r="BP15">
        <v>0.44</v>
      </c>
      <c r="BQ15">
        <v>0.11</v>
      </c>
      <c r="BR15">
        <v>0</v>
      </c>
      <c r="BS15">
        <v>0.11</v>
      </c>
      <c r="BT15">
        <v>0</v>
      </c>
      <c r="BU15">
        <v>0</v>
      </c>
      <c r="BV15">
        <v>0.33</v>
      </c>
      <c r="BW15">
        <v>0.56000000000000005</v>
      </c>
      <c r="BX15">
        <v>0</v>
      </c>
      <c r="BY15">
        <v>0</v>
      </c>
      <c r="BZ15">
        <v>0.11</v>
      </c>
    </row>
    <row r="16" spans="1:78" x14ac:dyDescent="0.25">
      <c r="A16" t="s">
        <v>3</v>
      </c>
      <c r="B16" s="12">
        <f>AVERAGE(I16,P16,W16,AD16,AK16,AS16,AZ16,BG16,BN16,BU16)</f>
        <v>0.12600000000000006</v>
      </c>
      <c r="C16" s="12">
        <f>AVERAGE(J16,Q16,X16,AE16,AL16,AT16,BA16,BH16,BO16,BV16)</f>
        <v>0.13100000000000001</v>
      </c>
      <c r="D16" s="12">
        <f>AVERAGE(K16,R16,Y16,AF16,AM16,AU16,BB16,BI16,BP16,BW16)</f>
        <v>0.12600000000000003</v>
      </c>
      <c r="E16" s="11">
        <f>AVERAGE(L16,S16,Z16,AG16,AN16,AV16,BC16,BJ16,BQ16,BX16)</f>
        <v>0.43899999999999995</v>
      </c>
      <c r="F16" s="12">
        <f>AVERAGE(M16,T16,AA16,AH16,AO16,AW16,BD16,BK16,BR16,BY16)</f>
        <v>4.5000000000000005E-2</v>
      </c>
      <c r="G16" s="12">
        <f>AVERAGE(N16,U16,AB16,AI16,AP16,AX16,BE16,BL16,BS16,BZ16)</f>
        <v>0.13</v>
      </c>
      <c r="I16" s="1">
        <v>0.05</v>
      </c>
      <c r="J16" s="1">
        <v>0.19</v>
      </c>
      <c r="K16" s="11">
        <v>7.0000000000000007E-2</v>
      </c>
      <c r="L16" s="1">
        <v>0.45</v>
      </c>
      <c r="M16" s="1">
        <v>7.0000000000000007E-2</v>
      </c>
      <c r="N16">
        <v>0.17</v>
      </c>
      <c r="P16">
        <v>0.05</v>
      </c>
      <c r="Q16">
        <v>7.0000000000000007E-2</v>
      </c>
      <c r="R16">
        <v>0.12</v>
      </c>
      <c r="S16">
        <v>0.51</v>
      </c>
      <c r="T16">
        <v>0.09</v>
      </c>
      <c r="U16">
        <v>0.16</v>
      </c>
      <c r="W16">
        <v>0.12</v>
      </c>
      <c r="X16">
        <v>0.14000000000000001</v>
      </c>
      <c r="Y16">
        <v>0.16</v>
      </c>
      <c r="Z16">
        <v>0.44</v>
      </c>
      <c r="AA16">
        <v>0.09</v>
      </c>
      <c r="AB16">
        <v>0.05</v>
      </c>
      <c r="AD16">
        <v>0.19</v>
      </c>
      <c r="AE16">
        <v>0.23</v>
      </c>
      <c r="AF16">
        <v>0.12</v>
      </c>
      <c r="AG16">
        <v>0.35</v>
      </c>
      <c r="AH16">
        <v>0.02</v>
      </c>
      <c r="AI16">
        <v>0.09</v>
      </c>
      <c r="AK16">
        <v>0.12</v>
      </c>
      <c r="AL16">
        <v>0.09</v>
      </c>
      <c r="AM16">
        <v>0.16</v>
      </c>
      <c r="AN16">
        <v>0.51</v>
      </c>
      <c r="AO16">
        <v>0.02</v>
      </c>
      <c r="AP16">
        <v>0.09</v>
      </c>
      <c r="AQ16">
        <v>0.09</v>
      </c>
      <c r="AR16">
        <v>0</v>
      </c>
      <c r="AS16">
        <v>0.33</v>
      </c>
      <c r="AT16">
        <v>0.12</v>
      </c>
      <c r="AU16">
        <v>0.19</v>
      </c>
      <c r="AV16">
        <v>0.26</v>
      </c>
      <c r="AW16">
        <v>0.02</v>
      </c>
      <c r="AX16">
        <v>0.09</v>
      </c>
      <c r="AY16">
        <v>0</v>
      </c>
      <c r="AZ16">
        <v>0.05</v>
      </c>
      <c r="BA16">
        <v>0.16</v>
      </c>
      <c r="BB16">
        <v>0.14000000000000001</v>
      </c>
      <c r="BC16">
        <v>0.51</v>
      </c>
      <c r="BD16">
        <v>0</v>
      </c>
      <c r="BE16">
        <v>0.14000000000000001</v>
      </c>
      <c r="BF16">
        <v>0</v>
      </c>
      <c r="BG16">
        <v>0.12</v>
      </c>
      <c r="BH16">
        <v>0.12</v>
      </c>
      <c r="BI16">
        <v>0.02</v>
      </c>
      <c r="BJ16">
        <v>0.45</v>
      </c>
      <c r="BK16">
        <v>7.0000000000000007E-2</v>
      </c>
      <c r="BL16">
        <v>0.21</v>
      </c>
      <c r="BM16">
        <v>0</v>
      </c>
      <c r="BN16">
        <v>0.14000000000000001</v>
      </c>
      <c r="BO16">
        <v>7.0000000000000007E-2</v>
      </c>
      <c r="BP16">
        <v>0.14000000000000001</v>
      </c>
      <c r="BQ16">
        <v>0.4</v>
      </c>
      <c r="BR16">
        <v>0.02</v>
      </c>
      <c r="BS16">
        <v>0.21</v>
      </c>
      <c r="BT16">
        <v>0</v>
      </c>
      <c r="BU16">
        <v>0.09</v>
      </c>
      <c r="BV16">
        <v>0.12</v>
      </c>
      <c r="BW16">
        <v>0.14000000000000001</v>
      </c>
      <c r="BX16">
        <v>0.51</v>
      </c>
      <c r="BY16">
        <v>0.05</v>
      </c>
      <c r="BZ16">
        <v>0.09</v>
      </c>
    </row>
    <row r="17" spans="1:78" x14ac:dyDescent="0.25">
      <c r="A17" t="s">
        <v>4</v>
      </c>
      <c r="B17" s="12">
        <f>AVERAGE(I17,P17,W17,AD17,AK17,AS17,AZ17,BG17,BN17,BU17)</f>
        <v>0.15400000000000003</v>
      </c>
      <c r="C17" s="12">
        <f>AVERAGE(J17,Q17,X17,AE17,AL17,AT17,BA17,BH17,BO17,BV17)</f>
        <v>0.187</v>
      </c>
      <c r="D17" s="12">
        <f>AVERAGE(K17,R17,Y17,AF17,AM17,AU17,BB17,BI17,BP17,BW17)</f>
        <v>0.16199999999999998</v>
      </c>
      <c r="E17" s="12">
        <f>AVERAGE(L17,S17,Z17,AG17,AN17,AV17,BC17,BJ17,BQ17,BX17)</f>
        <v>0.188</v>
      </c>
      <c r="F17" s="11">
        <f>AVERAGE(M17,T17,AA17,AH17,AO17,AW17,BD17,BK17,BR17,BY17)</f>
        <v>8.5000000000000006E-2</v>
      </c>
      <c r="G17" s="12">
        <f>AVERAGE(N17,U17,AB17,AI17,AP17,AX17,BE17,BL17,BS17,BZ17)</f>
        <v>0.22700000000000001</v>
      </c>
      <c r="I17" s="1">
        <v>0.19</v>
      </c>
      <c r="J17" s="1">
        <v>0.22</v>
      </c>
      <c r="K17" s="1">
        <v>0.11</v>
      </c>
      <c r="L17" s="11">
        <v>0.16</v>
      </c>
      <c r="M17" s="1">
        <v>0.11</v>
      </c>
      <c r="N17">
        <v>0.22</v>
      </c>
      <c r="P17">
        <v>0.08</v>
      </c>
      <c r="Q17">
        <v>0.27</v>
      </c>
      <c r="R17">
        <v>0.19</v>
      </c>
      <c r="S17">
        <v>0.14000000000000001</v>
      </c>
      <c r="T17">
        <v>0.08</v>
      </c>
      <c r="U17">
        <v>0.24</v>
      </c>
      <c r="W17">
        <v>0.22</v>
      </c>
      <c r="X17">
        <v>0.22</v>
      </c>
      <c r="Y17">
        <v>0.11</v>
      </c>
      <c r="Z17">
        <v>0.22</v>
      </c>
      <c r="AA17">
        <v>0</v>
      </c>
      <c r="AB17">
        <v>0.24</v>
      </c>
      <c r="AD17">
        <v>0.16</v>
      </c>
      <c r="AE17">
        <v>0.16</v>
      </c>
      <c r="AF17">
        <v>0.08</v>
      </c>
      <c r="AG17">
        <v>0.27</v>
      </c>
      <c r="AH17">
        <v>0.14000000000000001</v>
      </c>
      <c r="AI17">
        <v>0.19</v>
      </c>
      <c r="AK17">
        <v>0.19</v>
      </c>
      <c r="AL17">
        <v>0.14000000000000001</v>
      </c>
      <c r="AM17">
        <v>0.19</v>
      </c>
      <c r="AN17">
        <v>0.22</v>
      </c>
      <c r="AO17">
        <v>0.08</v>
      </c>
      <c r="AP17">
        <v>0.19</v>
      </c>
      <c r="AQ17">
        <v>0.32</v>
      </c>
      <c r="AR17">
        <v>0</v>
      </c>
      <c r="AS17">
        <v>0.08</v>
      </c>
      <c r="AT17">
        <v>0.27</v>
      </c>
      <c r="AU17">
        <v>0.16</v>
      </c>
      <c r="AV17">
        <v>0.16</v>
      </c>
      <c r="AW17">
        <v>0.03</v>
      </c>
      <c r="AX17">
        <v>0.3</v>
      </c>
      <c r="AY17">
        <v>0</v>
      </c>
      <c r="AZ17">
        <v>0.22</v>
      </c>
      <c r="BA17">
        <v>0.24</v>
      </c>
      <c r="BB17">
        <v>0.19</v>
      </c>
      <c r="BC17">
        <v>0.19</v>
      </c>
      <c r="BD17">
        <v>0.05</v>
      </c>
      <c r="BE17">
        <v>0.11</v>
      </c>
      <c r="BF17">
        <v>0</v>
      </c>
      <c r="BG17">
        <v>0.08</v>
      </c>
      <c r="BH17">
        <v>0.08</v>
      </c>
      <c r="BI17">
        <v>0.24</v>
      </c>
      <c r="BJ17">
        <v>0.22</v>
      </c>
      <c r="BK17">
        <v>0.14000000000000001</v>
      </c>
      <c r="BL17">
        <v>0.24</v>
      </c>
      <c r="BM17">
        <v>0</v>
      </c>
      <c r="BN17">
        <v>0.08</v>
      </c>
      <c r="BO17">
        <v>0.19</v>
      </c>
      <c r="BP17">
        <v>0.19</v>
      </c>
      <c r="BQ17">
        <v>0.19</v>
      </c>
      <c r="BR17">
        <v>0.14000000000000001</v>
      </c>
      <c r="BS17">
        <v>0.22</v>
      </c>
      <c r="BT17">
        <v>0</v>
      </c>
      <c r="BU17">
        <v>0.24</v>
      </c>
      <c r="BV17">
        <v>0.08</v>
      </c>
      <c r="BW17">
        <v>0.16</v>
      </c>
      <c r="BX17">
        <v>0.11</v>
      </c>
      <c r="BY17">
        <v>0.08</v>
      </c>
      <c r="BZ17">
        <v>0.32</v>
      </c>
    </row>
    <row r="18" spans="1:78" x14ac:dyDescent="0.25">
      <c r="A18" t="s">
        <v>5</v>
      </c>
      <c r="B18" s="12">
        <f>AVERAGE(I18,P18,W18,AD18,AK18,AS18,AZ18,BG18,BN18,BU18)</f>
        <v>0.24300000000000002</v>
      </c>
      <c r="C18" s="12">
        <f>AVERAGE(J18,Q18,X18,AE18,AL18,AT18,BA18,BH18,BO18,BV18)</f>
        <v>5.4000000000000006E-2</v>
      </c>
      <c r="D18" s="12">
        <f>AVERAGE(K18,R18,Y18,AF18,AM18,AU18,BB18,BI18,BP18,BW18)</f>
        <v>5.3999999999999992E-2</v>
      </c>
      <c r="E18" s="12">
        <f>AVERAGE(L18,S18,Z18,AG18,AN18,AV18,BC18,BJ18,BQ18,BX18)</f>
        <v>0.10800000000000001</v>
      </c>
      <c r="F18" s="12">
        <f>AVERAGE(M18,T18,AA18,AH18,AO18,AW18,BD18,BK18,BR18,BY18)</f>
        <v>9.8999999999999991E-2</v>
      </c>
      <c r="G18" s="11">
        <f>AVERAGE(N18,U18,AB18,AI18,AP18,AX18,BE18,BL18,BS18,BZ18)</f>
        <v>0.43500000000000005</v>
      </c>
      <c r="I18" s="1">
        <v>0.27</v>
      </c>
      <c r="J18" s="1">
        <v>0</v>
      </c>
      <c r="K18" s="1">
        <v>0.09</v>
      </c>
      <c r="L18" s="1">
        <v>0.09</v>
      </c>
      <c r="M18" s="11">
        <v>0.09</v>
      </c>
      <c r="N18">
        <v>0.45</v>
      </c>
      <c r="P18">
        <v>0.27</v>
      </c>
      <c r="Q18">
        <v>0.09</v>
      </c>
      <c r="R18">
        <v>0.18</v>
      </c>
      <c r="S18">
        <v>0.18</v>
      </c>
      <c r="T18">
        <v>0.09</v>
      </c>
      <c r="U18">
        <v>0.18</v>
      </c>
      <c r="W18">
        <v>0.18</v>
      </c>
      <c r="X18">
        <v>0.09</v>
      </c>
      <c r="Y18">
        <v>0</v>
      </c>
      <c r="Z18">
        <v>0.18</v>
      </c>
      <c r="AA18">
        <v>0</v>
      </c>
      <c r="AB18">
        <v>0.55000000000000004</v>
      </c>
      <c r="AD18">
        <v>0.09</v>
      </c>
      <c r="AE18">
        <v>0.09</v>
      </c>
      <c r="AF18">
        <v>0.09</v>
      </c>
      <c r="AG18">
        <v>0.18</v>
      </c>
      <c r="AH18">
        <v>0.09</v>
      </c>
      <c r="AI18">
        <v>0.45</v>
      </c>
      <c r="AK18">
        <v>0.36</v>
      </c>
      <c r="AL18">
        <v>0.09</v>
      </c>
      <c r="AM18">
        <v>0.09</v>
      </c>
      <c r="AN18">
        <v>0</v>
      </c>
      <c r="AO18">
        <v>0.09</v>
      </c>
      <c r="AP18">
        <v>0.36</v>
      </c>
      <c r="AQ18">
        <v>0.64</v>
      </c>
      <c r="AR18">
        <v>0</v>
      </c>
      <c r="AS18">
        <v>0.36</v>
      </c>
      <c r="AT18">
        <v>0</v>
      </c>
      <c r="AU18">
        <v>0</v>
      </c>
      <c r="AV18">
        <v>0.18</v>
      </c>
      <c r="AW18">
        <v>0.09</v>
      </c>
      <c r="AX18">
        <v>0.36</v>
      </c>
      <c r="AY18">
        <v>0</v>
      </c>
      <c r="AZ18">
        <v>0.27</v>
      </c>
      <c r="BA18">
        <v>0</v>
      </c>
      <c r="BB18">
        <v>0</v>
      </c>
      <c r="BC18">
        <v>0.18</v>
      </c>
      <c r="BD18">
        <v>0</v>
      </c>
      <c r="BE18">
        <v>0.55000000000000004</v>
      </c>
      <c r="BF18">
        <v>0</v>
      </c>
      <c r="BG18">
        <v>0.09</v>
      </c>
      <c r="BH18">
        <v>0.18</v>
      </c>
      <c r="BI18">
        <v>0.09</v>
      </c>
      <c r="BJ18">
        <v>0</v>
      </c>
      <c r="BK18">
        <v>0.27</v>
      </c>
      <c r="BL18">
        <v>0.36</v>
      </c>
      <c r="BM18">
        <v>0</v>
      </c>
      <c r="BN18">
        <v>0.27</v>
      </c>
      <c r="BO18">
        <v>0</v>
      </c>
      <c r="BP18">
        <v>0</v>
      </c>
      <c r="BQ18">
        <v>0.09</v>
      </c>
      <c r="BR18">
        <v>0.18</v>
      </c>
      <c r="BS18">
        <v>0.45</v>
      </c>
      <c r="BT18">
        <v>0</v>
      </c>
      <c r="BU18">
        <v>0.27</v>
      </c>
      <c r="BV18">
        <v>0</v>
      </c>
      <c r="BW18">
        <v>0</v>
      </c>
      <c r="BX18">
        <v>0</v>
      </c>
      <c r="BY18">
        <v>0.09</v>
      </c>
      <c r="BZ18">
        <v>0.64</v>
      </c>
    </row>
    <row r="19" spans="1:78" x14ac:dyDescent="0.25">
      <c r="A19" t="s">
        <v>31</v>
      </c>
      <c r="B19" s="12">
        <f>AVERAGE(B18,B17,B16,B15,B14)</f>
        <v>0.12500000000000006</v>
      </c>
      <c r="C19" s="12">
        <f>AVERAGE(C18,C17,C16,C15,C13)</f>
        <v>0.13739999999999999</v>
      </c>
      <c r="D19" s="12">
        <f>AVERAGE(D18,D17,D16,D13,D14)</f>
        <v>0.12859999999999999</v>
      </c>
      <c r="E19" s="12">
        <f>AVERAGE(E18,E17,E13,E15,E14)</f>
        <v>0.13159999999999999</v>
      </c>
      <c r="F19" s="12">
        <f>AVERAGE(F18,F13,F16,F15,F14)</f>
        <v>4.7400000000000005E-2</v>
      </c>
      <c r="G19" s="12">
        <f>AVERAGE(G13,G17,G16,G15,G14)</f>
        <v>0.12580000000000002</v>
      </c>
      <c r="I19" s="1"/>
      <c r="J19" s="1"/>
      <c r="K19" s="1"/>
      <c r="L19" s="1"/>
      <c r="M19" s="1"/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</row>
    <row r="20" spans="1:78" x14ac:dyDescent="0.25">
      <c r="B20" s="11">
        <f>AVERAGE(I20,P20,W20,AD20,AK20,AS20,AZ20,BG20,BN20,BU20)</f>
        <v>0.41900000000000004</v>
      </c>
      <c r="C20" s="1"/>
      <c r="D20" s="1"/>
      <c r="E20" s="1"/>
      <c r="F20" s="1"/>
      <c r="G20" s="1"/>
      <c r="I20" s="1">
        <v>0.5</v>
      </c>
      <c r="J20" s="1">
        <v>114</v>
      </c>
      <c r="K20" s="1"/>
      <c r="L20" s="1"/>
      <c r="M20" s="1"/>
      <c r="P20">
        <v>0.32</v>
      </c>
      <c r="Q20">
        <v>118</v>
      </c>
      <c r="W20">
        <v>0.46</v>
      </c>
      <c r="X20">
        <v>118</v>
      </c>
      <c r="AD20">
        <v>0.43</v>
      </c>
      <c r="AE20">
        <v>118</v>
      </c>
      <c r="AK20">
        <v>0.42</v>
      </c>
      <c r="AL20">
        <v>118</v>
      </c>
      <c r="AQ20">
        <v>0</v>
      </c>
      <c r="AR20">
        <v>0</v>
      </c>
      <c r="AS20">
        <v>0.38</v>
      </c>
      <c r="AT20">
        <v>117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0.39</v>
      </c>
      <c r="BA20">
        <v>116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0.37</v>
      </c>
      <c r="BH20">
        <v>115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0.43</v>
      </c>
      <c r="BO20">
        <v>115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0.49</v>
      </c>
      <c r="BV20">
        <v>117</v>
      </c>
      <c r="BW20">
        <v>0</v>
      </c>
      <c r="BX20">
        <v>0</v>
      </c>
      <c r="BY20">
        <v>0</v>
      </c>
      <c r="BZ2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7966-0D8E-4067-B5BB-B065394061FF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22372-7707-4C06-AC79-E81A693B37E0}">
  <dimension ref="A4:BZ35"/>
  <sheetViews>
    <sheetView workbookViewId="0">
      <selection activeCell="H8" sqref="H8"/>
    </sheetView>
  </sheetViews>
  <sheetFormatPr defaultRowHeight="15" x14ac:dyDescent="0.25"/>
  <sheetData>
    <row r="4" spans="1:78" x14ac:dyDescent="0.25">
      <c r="B4" s="13" t="s">
        <v>0</v>
      </c>
      <c r="C4" s="13" t="s">
        <v>2</v>
      </c>
      <c r="D4" s="13" t="s">
        <v>3</v>
      </c>
      <c r="E4" s="13" t="s">
        <v>5</v>
      </c>
      <c r="F4" s="13"/>
    </row>
    <row r="5" spans="1:78" x14ac:dyDescent="0.25">
      <c r="A5" t="s">
        <v>0</v>
      </c>
      <c r="B5" s="11">
        <f>AVERAGE(I5,P5,W5,AD5,AK5,AS5,AZ5,BG5,BN5,BU5)</f>
        <v>0.98000000000000009</v>
      </c>
      <c r="C5" s="12">
        <f t="shared" ref="C5:E5" si="0">AVERAGE(J5,Q5,X5,AE5,AL5,AT5,BA5,BH5,BO5,BV5)</f>
        <v>1E-3</v>
      </c>
      <c r="D5" s="12">
        <f t="shared" si="0"/>
        <v>2E-3</v>
      </c>
      <c r="E5" s="12">
        <f t="shared" si="0"/>
        <v>1.9000000000000003E-2</v>
      </c>
      <c r="F5" s="12"/>
      <c r="G5" s="12"/>
      <c r="I5">
        <v>0.98</v>
      </c>
      <c r="J5">
        <v>0</v>
      </c>
      <c r="K5">
        <v>0</v>
      </c>
      <c r="L5">
        <v>0.02</v>
      </c>
      <c r="M5">
        <v>0</v>
      </c>
      <c r="N5">
        <v>0</v>
      </c>
      <c r="P5">
        <v>0.94</v>
      </c>
      <c r="Q5">
        <v>0</v>
      </c>
      <c r="R5">
        <v>0.01</v>
      </c>
      <c r="S5">
        <v>0.05</v>
      </c>
      <c r="T5">
        <v>0</v>
      </c>
      <c r="U5">
        <v>0</v>
      </c>
      <c r="W5">
        <v>0.99</v>
      </c>
      <c r="X5">
        <v>0</v>
      </c>
      <c r="Y5">
        <v>0</v>
      </c>
      <c r="Z5">
        <v>0.01</v>
      </c>
      <c r="AA5">
        <v>0</v>
      </c>
      <c r="AB5">
        <v>0</v>
      </c>
      <c r="AD5">
        <v>0.98</v>
      </c>
      <c r="AE5">
        <v>0.01</v>
      </c>
      <c r="AF5">
        <v>0</v>
      </c>
      <c r="AG5">
        <v>0.01</v>
      </c>
      <c r="AH5">
        <v>0</v>
      </c>
      <c r="AI5">
        <v>0</v>
      </c>
      <c r="AK5">
        <v>0.98</v>
      </c>
      <c r="AL5">
        <v>0</v>
      </c>
      <c r="AM5">
        <v>0</v>
      </c>
      <c r="AN5">
        <v>0.03</v>
      </c>
      <c r="AO5">
        <v>0</v>
      </c>
      <c r="AP5">
        <v>0</v>
      </c>
      <c r="AQ5">
        <v>0</v>
      </c>
      <c r="AR5">
        <v>0</v>
      </c>
      <c r="AS5">
        <v>0.98</v>
      </c>
      <c r="AT5">
        <v>0</v>
      </c>
      <c r="AU5">
        <v>0.01</v>
      </c>
      <c r="AV5">
        <v>0.01</v>
      </c>
      <c r="AW5">
        <v>0</v>
      </c>
      <c r="AX5">
        <v>0</v>
      </c>
      <c r="AY5">
        <v>0</v>
      </c>
      <c r="AZ5">
        <v>0.99</v>
      </c>
      <c r="BA5">
        <v>0</v>
      </c>
      <c r="BB5">
        <v>0</v>
      </c>
      <c r="BC5">
        <v>0.01</v>
      </c>
      <c r="BD5">
        <v>0</v>
      </c>
      <c r="BE5">
        <v>0</v>
      </c>
      <c r="BF5">
        <v>0</v>
      </c>
      <c r="BG5">
        <v>0.99</v>
      </c>
      <c r="BH5">
        <v>0</v>
      </c>
      <c r="BI5">
        <v>0</v>
      </c>
      <c r="BJ5">
        <v>0.01</v>
      </c>
      <c r="BK5">
        <v>0</v>
      </c>
      <c r="BL5">
        <v>0</v>
      </c>
      <c r="BM5">
        <v>0</v>
      </c>
      <c r="BN5">
        <v>0.99</v>
      </c>
      <c r="BO5">
        <v>0</v>
      </c>
      <c r="BP5">
        <v>0</v>
      </c>
      <c r="BQ5">
        <v>0.01</v>
      </c>
      <c r="BR5">
        <v>0</v>
      </c>
      <c r="BS5">
        <v>0</v>
      </c>
      <c r="BT5">
        <v>0</v>
      </c>
      <c r="BU5">
        <v>0.98</v>
      </c>
      <c r="BV5">
        <v>0</v>
      </c>
      <c r="BW5">
        <v>0</v>
      </c>
      <c r="BX5">
        <v>0.03</v>
      </c>
      <c r="BY5">
        <v>0</v>
      </c>
      <c r="BZ5">
        <v>0</v>
      </c>
    </row>
    <row r="6" spans="1:78" x14ac:dyDescent="0.25">
      <c r="A6" t="s">
        <v>2</v>
      </c>
      <c r="B6" s="12">
        <f t="shared" ref="B6:B12" si="1">AVERAGE(I6,P6,W6,AD6,AK6,AS6,AZ6,BG6,BN6,BU6)</f>
        <v>0</v>
      </c>
      <c r="C6" s="11">
        <f t="shared" ref="C6:C8" si="2">AVERAGE(J6,Q6,X6,AE6,AL6,AT6,BA6,BH6,BO6,BV6)</f>
        <v>0.99400000000000011</v>
      </c>
      <c r="D6" s="12">
        <f t="shared" ref="D6:D8" si="3">AVERAGE(K6,R6,Y6,AF6,AM6,AU6,BB6,BI6,BP6,BW6)</f>
        <v>6.0000000000000001E-3</v>
      </c>
      <c r="E6" s="12">
        <f t="shared" ref="E6:E7" si="4">AVERAGE(L6,S6,Z6,AG6,AN6,AV6,BC6,BJ6,BQ6,BX6)</f>
        <v>0</v>
      </c>
      <c r="F6" s="12"/>
      <c r="G6" s="12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0.99</v>
      </c>
      <c r="R6">
        <v>0.01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0.99</v>
      </c>
      <c r="AF6">
        <v>0.01</v>
      </c>
      <c r="AG6">
        <v>0</v>
      </c>
      <c r="AH6">
        <v>0</v>
      </c>
      <c r="AI6">
        <v>0</v>
      </c>
      <c r="AK6">
        <v>0</v>
      </c>
      <c r="AL6">
        <v>0.99</v>
      </c>
      <c r="AM6">
        <v>0.01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1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0.99</v>
      </c>
      <c r="BB6">
        <v>0.01</v>
      </c>
      <c r="BC6">
        <v>0</v>
      </c>
      <c r="BD6">
        <v>0</v>
      </c>
      <c r="BE6">
        <v>0</v>
      </c>
      <c r="BF6">
        <v>0</v>
      </c>
      <c r="BG6">
        <v>0</v>
      </c>
      <c r="BH6">
        <v>0.99</v>
      </c>
      <c r="BI6">
        <v>0.01</v>
      </c>
      <c r="BJ6">
        <v>0</v>
      </c>
      <c r="BK6">
        <v>0</v>
      </c>
      <c r="BL6">
        <v>0</v>
      </c>
      <c r="BM6">
        <v>0</v>
      </c>
      <c r="BN6">
        <v>0</v>
      </c>
      <c r="BO6">
        <v>0.99</v>
      </c>
      <c r="BP6">
        <v>0.01</v>
      </c>
      <c r="BQ6">
        <v>0</v>
      </c>
      <c r="BR6">
        <v>0</v>
      </c>
      <c r="BS6">
        <v>0</v>
      </c>
      <c r="BT6">
        <v>0</v>
      </c>
      <c r="BU6">
        <v>0</v>
      </c>
      <c r="BV6">
        <v>1</v>
      </c>
      <c r="BW6">
        <v>0</v>
      </c>
      <c r="BX6">
        <v>0</v>
      </c>
      <c r="BY6">
        <v>0</v>
      </c>
      <c r="BZ6">
        <v>0</v>
      </c>
    </row>
    <row r="7" spans="1:78" x14ac:dyDescent="0.25">
      <c r="A7" t="s">
        <v>3</v>
      </c>
      <c r="B7" s="12">
        <f t="shared" si="1"/>
        <v>7.2000000000000008E-2</v>
      </c>
      <c r="C7" s="12">
        <f t="shared" si="2"/>
        <v>0.11100000000000002</v>
      </c>
      <c r="D7" s="11">
        <f t="shared" si="3"/>
        <v>0.74099999999999999</v>
      </c>
      <c r="E7" s="12">
        <f t="shared" si="4"/>
        <v>7.6999999999999999E-2</v>
      </c>
      <c r="F7" s="12"/>
      <c r="G7" s="12"/>
      <c r="I7">
        <v>7.0000000000000007E-2</v>
      </c>
      <c r="J7">
        <v>0.13</v>
      </c>
      <c r="K7">
        <v>0.72</v>
      </c>
      <c r="L7">
        <v>0.08</v>
      </c>
      <c r="M7">
        <v>0</v>
      </c>
      <c r="N7">
        <v>0</v>
      </c>
      <c r="P7">
        <v>7.0000000000000007E-2</v>
      </c>
      <c r="Q7">
        <v>0.1</v>
      </c>
      <c r="R7">
        <v>0.73</v>
      </c>
      <c r="S7">
        <v>0.1</v>
      </c>
      <c r="T7">
        <v>0</v>
      </c>
      <c r="U7">
        <v>0</v>
      </c>
      <c r="W7">
        <v>0.08</v>
      </c>
      <c r="X7">
        <v>0.1</v>
      </c>
      <c r="Y7">
        <v>0.74</v>
      </c>
      <c r="Z7">
        <v>0.08</v>
      </c>
      <c r="AA7">
        <v>0</v>
      </c>
      <c r="AB7">
        <v>0</v>
      </c>
      <c r="AD7">
        <v>7.0000000000000007E-2</v>
      </c>
      <c r="AE7">
        <v>0.11</v>
      </c>
      <c r="AF7">
        <v>0.75</v>
      </c>
      <c r="AG7">
        <v>0.08</v>
      </c>
      <c r="AH7">
        <v>0</v>
      </c>
      <c r="AI7">
        <v>0</v>
      </c>
      <c r="AK7">
        <v>7.0000000000000007E-2</v>
      </c>
      <c r="AL7">
        <v>0.1</v>
      </c>
      <c r="AM7">
        <v>0.74</v>
      </c>
      <c r="AN7">
        <v>0.09</v>
      </c>
      <c r="AO7">
        <v>0</v>
      </c>
      <c r="AP7">
        <v>0</v>
      </c>
      <c r="AQ7">
        <v>0</v>
      </c>
      <c r="AR7">
        <v>0</v>
      </c>
      <c r="AS7">
        <v>7.0000000000000007E-2</v>
      </c>
      <c r="AT7">
        <v>0.1</v>
      </c>
      <c r="AU7">
        <v>0.75</v>
      </c>
      <c r="AV7">
        <v>0.08</v>
      </c>
      <c r="AW7">
        <v>0</v>
      </c>
      <c r="AX7">
        <v>0</v>
      </c>
      <c r="AY7">
        <v>0</v>
      </c>
      <c r="AZ7">
        <v>0.09</v>
      </c>
      <c r="BA7">
        <v>0.12</v>
      </c>
      <c r="BB7">
        <v>0.73</v>
      </c>
      <c r="BC7">
        <v>0.06</v>
      </c>
      <c r="BD7">
        <v>0</v>
      </c>
      <c r="BE7">
        <v>0</v>
      </c>
      <c r="BF7">
        <v>0</v>
      </c>
      <c r="BG7">
        <v>7.0000000000000007E-2</v>
      </c>
      <c r="BH7">
        <v>0.11</v>
      </c>
      <c r="BI7">
        <v>0.76</v>
      </c>
      <c r="BJ7">
        <v>0.06</v>
      </c>
      <c r="BK7">
        <v>0</v>
      </c>
      <c r="BL7">
        <v>0</v>
      </c>
      <c r="BM7">
        <v>0</v>
      </c>
      <c r="BN7">
        <v>0.05</v>
      </c>
      <c r="BO7">
        <v>0.13</v>
      </c>
      <c r="BP7">
        <v>0.74</v>
      </c>
      <c r="BQ7">
        <v>0.08</v>
      </c>
      <c r="BR7">
        <v>0</v>
      </c>
      <c r="BS7">
        <v>0</v>
      </c>
      <c r="BT7">
        <v>0</v>
      </c>
      <c r="BU7">
        <v>0.08</v>
      </c>
      <c r="BV7">
        <v>0.11</v>
      </c>
      <c r="BW7">
        <v>0.75</v>
      </c>
      <c r="BX7">
        <v>0.06</v>
      </c>
      <c r="BY7">
        <v>0</v>
      </c>
      <c r="BZ7">
        <v>0</v>
      </c>
    </row>
    <row r="8" spans="1:78" x14ac:dyDescent="0.25">
      <c r="A8" t="s">
        <v>5</v>
      </c>
      <c r="B8" s="12">
        <f t="shared" si="1"/>
        <v>1.7000000000000001E-2</v>
      </c>
      <c r="C8" s="12">
        <f t="shared" si="2"/>
        <v>8.9999999999999993E-3</v>
      </c>
      <c r="D8" s="12">
        <f t="shared" si="3"/>
        <v>9.9999999999999985E-3</v>
      </c>
      <c r="E8" s="11">
        <f>AVERAGE(L8,S8,Z8,AG8,AN8,AV8,BC8,BJ8,BQ8,BX8)</f>
        <v>0.96400000000000008</v>
      </c>
      <c r="F8" s="12"/>
      <c r="G8" s="12"/>
      <c r="I8">
        <v>0.01</v>
      </c>
      <c r="J8">
        <v>0.01</v>
      </c>
      <c r="K8">
        <v>0.02</v>
      </c>
      <c r="L8">
        <v>0.96</v>
      </c>
      <c r="M8">
        <v>0</v>
      </c>
      <c r="N8">
        <v>0</v>
      </c>
      <c r="P8">
        <v>0.03</v>
      </c>
      <c r="Q8">
        <v>0</v>
      </c>
      <c r="R8">
        <v>0.01</v>
      </c>
      <c r="S8">
        <v>0.96</v>
      </c>
      <c r="T8">
        <v>0</v>
      </c>
      <c r="U8">
        <v>0</v>
      </c>
      <c r="W8">
        <v>0.01</v>
      </c>
      <c r="X8">
        <v>0.01</v>
      </c>
      <c r="Y8">
        <v>0.01</v>
      </c>
      <c r="Z8">
        <v>0.97</v>
      </c>
      <c r="AA8">
        <v>0</v>
      </c>
      <c r="AB8">
        <v>0</v>
      </c>
      <c r="AD8">
        <v>0.01</v>
      </c>
      <c r="AE8">
        <v>0.01</v>
      </c>
      <c r="AF8">
        <v>0.01</v>
      </c>
      <c r="AG8">
        <v>0.97</v>
      </c>
      <c r="AH8">
        <v>0</v>
      </c>
      <c r="AI8">
        <v>0</v>
      </c>
      <c r="AK8">
        <v>0.01</v>
      </c>
      <c r="AL8">
        <v>0.01</v>
      </c>
      <c r="AM8">
        <v>0.02</v>
      </c>
      <c r="AN8">
        <v>0.96</v>
      </c>
      <c r="AO8">
        <v>0</v>
      </c>
      <c r="AP8">
        <v>0</v>
      </c>
      <c r="AQ8">
        <v>0</v>
      </c>
      <c r="AR8">
        <v>0</v>
      </c>
      <c r="AS8">
        <v>0.03</v>
      </c>
      <c r="AT8">
        <v>0</v>
      </c>
      <c r="AU8">
        <v>0.01</v>
      </c>
      <c r="AV8">
        <v>0.96</v>
      </c>
      <c r="AW8">
        <v>0</v>
      </c>
      <c r="AX8">
        <v>0</v>
      </c>
      <c r="AY8">
        <v>0</v>
      </c>
      <c r="AZ8">
        <v>0.02</v>
      </c>
      <c r="BA8">
        <v>0.03</v>
      </c>
      <c r="BB8">
        <v>0</v>
      </c>
      <c r="BC8">
        <v>0.95</v>
      </c>
      <c r="BD8">
        <v>0</v>
      </c>
      <c r="BE8">
        <v>0</v>
      </c>
      <c r="BF8">
        <v>0</v>
      </c>
      <c r="BG8">
        <v>0.02</v>
      </c>
      <c r="BH8">
        <v>0.01</v>
      </c>
      <c r="BI8">
        <v>0.01</v>
      </c>
      <c r="BJ8">
        <v>0.96</v>
      </c>
      <c r="BK8">
        <v>0</v>
      </c>
      <c r="BL8">
        <v>0</v>
      </c>
      <c r="BM8">
        <v>0</v>
      </c>
      <c r="BN8">
        <v>0.01</v>
      </c>
      <c r="BO8">
        <v>0.01</v>
      </c>
      <c r="BP8">
        <v>0</v>
      </c>
      <c r="BQ8">
        <v>0.98</v>
      </c>
      <c r="BR8">
        <v>0</v>
      </c>
      <c r="BS8">
        <v>0</v>
      </c>
      <c r="BT8">
        <v>0</v>
      </c>
      <c r="BU8">
        <v>0.02</v>
      </c>
      <c r="BV8">
        <v>0</v>
      </c>
      <c r="BW8">
        <v>0.01</v>
      </c>
      <c r="BX8">
        <v>0.97</v>
      </c>
      <c r="BY8">
        <v>0</v>
      </c>
      <c r="BZ8">
        <v>0</v>
      </c>
    </row>
    <row r="9" spans="1:78" x14ac:dyDescent="0.25">
      <c r="B9" s="12"/>
      <c r="C9" s="12"/>
      <c r="D9" s="12"/>
      <c r="E9" s="12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2"/>
      <c r="C10" s="12"/>
      <c r="D10" s="12"/>
      <c r="E10" s="12"/>
      <c r="G10" s="12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2"/>
      <c r="C11" s="12"/>
      <c r="D11" s="12"/>
      <c r="E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1">
        <f t="shared" si="1"/>
        <v>0.91600000000000004</v>
      </c>
      <c r="C12" s="12"/>
      <c r="D12" s="12"/>
      <c r="E12" s="12"/>
      <c r="G12" s="12"/>
      <c r="I12">
        <v>0.91</v>
      </c>
      <c r="J12">
        <v>634</v>
      </c>
      <c r="P12">
        <v>0.9</v>
      </c>
      <c r="Q12">
        <v>631</v>
      </c>
      <c r="W12">
        <v>0.92</v>
      </c>
      <c r="X12">
        <v>631</v>
      </c>
      <c r="AD12">
        <v>0.92</v>
      </c>
      <c r="AE12">
        <v>631</v>
      </c>
      <c r="AK12">
        <v>0.92</v>
      </c>
      <c r="AL12">
        <v>631</v>
      </c>
      <c r="AQ12">
        <v>0</v>
      </c>
      <c r="AR12">
        <v>0</v>
      </c>
      <c r="AS12">
        <v>0.92</v>
      </c>
      <c r="AT12">
        <v>631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0.91</v>
      </c>
      <c r="BA12">
        <v>631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0.92</v>
      </c>
      <c r="BH12">
        <v>632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0.92</v>
      </c>
      <c r="BO12">
        <v>633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0.92</v>
      </c>
      <c r="BV12">
        <v>633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B13" s="12"/>
      <c r="C13" s="12"/>
      <c r="D13" s="12"/>
      <c r="E13" s="12"/>
      <c r="F13" s="11"/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B14" s="12"/>
      <c r="C14" s="12"/>
      <c r="D14" s="12"/>
      <c r="E14" s="12"/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B15" s="13" t="s">
        <v>0</v>
      </c>
      <c r="C15" s="13" t="s">
        <v>2</v>
      </c>
      <c r="D15" s="13" t="s">
        <v>3</v>
      </c>
      <c r="E15" s="13" t="s">
        <v>5</v>
      </c>
      <c r="F15" s="13"/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">
        <v>0</v>
      </c>
      <c r="B16" s="11">
        <f>AVERAGE(I16,P16,W16,AD16,AK16,AS16,AZ16,BG16,BN16,BU16)</f>
        <v>0.59800000000000009</v>
      </c>
      <c r="C16" s="12">
        <f t="shared" ref="C16:E16" si="5">AVERAGE(J16,Q16,X16,AE16,AL16,AT16,BA16,BH16,BO16,BV16)</f>
        <v>1.0999999999999999E-2</v>
      </c>
      <c r="D16" s="12">
        <f t="shared" si="5"/>
        <v>0.11000000000000001</v>
      </c>
      <c r="E16" s="12">
        <f t="shared" si="5"/>
        <v>0.27900000000000003</v>
      </c>
      <c r="F16" s="11"/>
      <c r="I16">
        <v>0.75</v>
      </c>
      <c r="J16">
        <v>0</v>
      </c>
      <c r="K16">
        <v>0</v>
      </c>
      <c r="L16">
        <v>0.25</v>
      </c>
      <c r="M16">
        <v>0</v>
      </c>
      <c r="N16">
        <v>0</v>
      </c>
      <c r="P16">
        <v>0.44</v>
      </c>
      <c r="Q16">
        <v>0</v>
      </c>
      <c r="R16">
        <v>0.11</v>
      </c>
      <c r="S16">
        <v>0.44</v>
      </c>
      <c r="T16">
        <v>0</v>
      </c>
      <c r="U16">
        <v>0</v>
      </c>
      <c r="W16">
        <v>0.78</v>
      </c>
      <c r="X16">
        <v>0</v>
      </c>
      <c r="Y16">
        <v>0.11</v>
      </c>
      <c r="Z16">
        <v>0.11</v>
      </c>
      <c r="AA16">
        <v>0</v>
      </c>
      <c r="AB16">
        <v>0</v>
      </c>
      <c r="AD16">
        <v>0.78</v>
      </c>
      <c r="AE16">
        <v>0</v>
      </c>
      <c r="AF16">
        <v>0</v>
      </c>
      <c r="AG16">
        <v>0.22</v>
      </c>
      <c r="AH16">
        <v>0</v>
      </c>
      <c r="AI16">
        <v>0</v>
      </c>
      <c r="AK16">
        <v>0.44</v>
      </c>
      <c r="AL16">
        <v>0</v>
      </c>
      <c r="AM16">
        <v>0</v>
      </c>
      <c r="AN16">
        <v>0.56000000000000005</v>
      </c>
      <c r="AO16">
        <v>0</v>
      </c>
      <c r="AP16">
        <v>0</v>
      </c>
      <c r="AQ16">
        <v>0</v>
      </c>
      <c r="AR16">
        <v>0</v>
      </c>
      <c r="AS16">
        <v>0.56000000000000005</v>
      </c>
      <c r="AT16">
        <v>0</v>
      </c>
      <c r="AU16">
        <v>0.22</v>
      </c>
      <c r="AV16">
        <v>0.22</v>
      </c>
      <c r="AW16">
        <v>0</v>
      </c>
      <c r="AX16">
        <v>0</v>
      </c>
      <c r="AY16">
        <v>0</v>
      </c>
      <c r="AZ16">
        <v>0.56000000000000005</v>
      </c>
      <c r="BA16">
        <v>0</v>
      </c>
      <c r="BB16">
        <v>0.22</v>
      </c>
      <c r="BC16">
        <v>0.22</v>
      </c>
      <c r="BD16">
        <v>0</v>
      </c>
      <c r="BE16">
        <v>0</v>
      </c>
      <c r="BF16">
        <v>0</v>
      </c>
      <c r="BG16">
        <v>0.56000000000000005</v>
      </c>
      <c r="BH16">
        <v>0</v>
      </c>
      <c r="BI16">
        <v>0.22</v>
      </c>
      <c r="BJ16">
        <v>0.22</v>
      </c>
      <c r="BK16">
        <v>0</v>
      </c>
      <c r="BL16">
        <v>0</v>
      </c>
      <c r="BM16">
        <v>0</v>
      </c>
      <c r="BN16">
        <v>0.44</v>
      </c>
      <c r="BO16">
        <v>0.11</v>
      </c>
      <c r="BP16">
        <v>0.11</v>
      </c>
      <c r="BQ16">
        <v>0.33</v>
      </c>
      <c r="BR16">
        <v>0</v>
      </c>
      <c r="BS16">
        <v>0</v>
      </c>
      <c r="BT16">
        <v>0</v>
      </c>
      <c r="BU16">
        <v>0.67</v>
      </c>
      <c r="BV16">
        <v>0</v>
      </c>
      <c r="BW16">
        <v>0.11</v>
      </c>
      <c r="BX16">
        <v>0.22</v>
      </c>
      <c r="BY16">
        <v>0</v>
      </c>
      <c r="BZ16">
        <v>0</v>
      </c>
    </row>
    <row r="17" spans="1:78" x14ac:dyDescent="0.25">
      <c r="A17" t="s">
        <v>2</v>
      </c>
      <c r="B17" s="12">
        <f t="shared" ref="B17:B19" si="6">AVERAGE(I17,P17,W17,AD17,AK17,AS17,AZ17,BG17,BN17,BU17)</f>
        <v>2.6000000000000002E-2</v>
      </c>
      <c r="C17" s="11">
        <f t="shared" ref="C17:C19" si="7">AVERAGE(J17,Q17,X17,AE17,AL17,AT17,BA17,BH17,BO17,BV17)</f>
        <v>0.7410000000000001</v>
      </c>
      <c r="D17" s="12">
        <f t="shared" ref="D17:D19" si="8">AVERAGE(K17,R17,Y17,AF17,AM17,AU17,BB17,BI17,BP17,BW17)</f>
        <v>0.185</v>
      </c>
      <c r="E17" s="12">
        <f t="shared" ref="E17:E19" si="9">AVERAGE(L17,S17,Z17,AG17,AN17,AV17,BC17,BJ17,BQ17,BX17)</f>
        <v>5.2000000000000005E-2</v>
      </c>
      <c r="F17" s="12"/>
      <c r="I17">
        <v>0</v>
      </c>
      <c r="J17">
        <v>0.86</v>
      </c>
      <c r="K17">
        <v>0.14000000000000001</v>
      </c>
      <c r="L17">
        <v>0</v>
      </c>
      <c r="M17">
        <v>0</v>
      </c>
      <c r="N17">
        <v>0</v>
      </c>
      <c r="P17">
        <v>0</v>
      </c>
      <c r="Q17">
        <v>0.5</v>
      </c>
      <c r="R17">
        <v>0.25</v>
      </c>
      <c r="S17">
        <v>0.25</v>
      </c>
      <c r="T17">
        <v>0</v>
      </c>
      <c r="U17">
        <v>0</v>
      </c>
      <c r="W17">
        <v>0</v>
      </c>
      <c r="X17">
        <v>0.88</v>
      </c>
      <c r="Y17">
        <v>0.13</v>
      </c>
      <c r="Z17">
        <v>0</v>
      </c>
      <c r="AA17">
        <v>0</v>
      </c>
      <c r="AB17">
        <v>0</v>
      </c>
      <c r="AD17">
        <v>0</v>
      </c>
      <c r="AE17">
        <v>0.75</v>
      </c>
      <c r="AF17">
        <v>0.25</v>
      </c>
      <c r="AG17">
        <v>0</v>
      </c>
      <c r="AH17">
        <v>0</v>
      </c>
      <c r="AI17">
        <v>0</v>
      </c>
      <c r="AK17">
        <v>0.13</v>
      </c>
      <c r="AL17">
        <v>0.75</v>
      </c>
      <c r="AM17">
        <v>0.13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0.13</v>
      </c>
      <c r="AT17">
        <v>0.63</v>
      </c>
      <c r="AU17">
        <v>0.25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0.75</v>
      </c>
      <c r="BB17">
        <v>0.13</v>
      </c>
      <c r="BC17">
        <v>0.13</v>
      </c>
      <c r="BD17">
        <v>0</v>
      </c>
      <c r="BE17">
        <v>0</v>
      </c>
      <c r="BF17">
        <v>0</v>
      </c>
      <c r="BG17">
        <v>0</v>
      </c>
      <c r="BH17">
        <v>0.86</v>
      </c>
      <c r="BI17">
        <v>0.14000000000000001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0.86</v>
      </c>
      <c r="BP17">
        <v>0.14000000000000001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0.56999999999999995</v>
      </c>
      <c r="BW17">
        <v>0.28999999999999998</v>
      </c>
      <c r="BX17">
        <v>0.14000000000000001</v>
      </c>
      <c r="BY17">
        <v>0</v>
      </c>
      <c r="BZ17">
        <v>0</v>
      </c>
    </row>
    <row r="18" spans="1:78" x14ac:dyDescent="0.25">
      <c r="A18" t="s">
        <v>3</v>
      </c>
      <c r="B18" s="12">
        <f t="shared" si="6"/>
        <v>0.11699999999999999</v>
      </c>
      <c r="C18" s="12">
        <f t="shared" si="7"/>
        <v>0.16099999999999998</v>
      </c>
      <c r="D18" s="11">
        <f t="shared" si="8"/>
        <v>0.59400000000000008</v>
      </c>
      <c r="E18" s="12">
        <f t="shared" si="9"/>
        <v>0.129</v>
      </c>
      <c r="F18" s="12"/>
      <c r="I18">
        <v>0.12</v>
      </c>
      <c r="J18">
        <v>0.19</v>
      </c>
      <c r="K18">
        <v>0.6</v>
      </c>
      <c r="L18">
        <v>0.1</v>
      </c>
      <c r="M18">
        <v>0</v>
      </c>
      <c r="N18">
        <v>0</v>
      </c>
      <c r="P18">
        <v>0.05</v>
      </c>
      <c r="Q18">
        <v>0.23</v>
      </c>
      <c r="R18">
        <v>0.56000000000000005</v>
      </c>
      <c r="S18">
        <v>0.16</v>
      </c>
      <c r="T18">
        <v>0</v>
      </c>
      <c r="U18">
        <v>0</v>
      </c>
      <c r="W18">
        <v>0.19</v>
      </c>
      <c r="X18">
        <v>0.09</v>
      </c>
      <c r="Y18">
        <v>0.63</v>
      </c>
      <c r="Z18">
        <v>0.09</v>
      </c>
      <c r="AA18">
        <v>0</v>
      </c>
      <c r="AB18">
        <v>0</v>
      </c>
      <c r="AD18">
        <v>0.12</v>
      </c>
      <c r="AE18">
        <v>0.16</v>
      </c>
      <c r="AF18">
        <v>0.6</v>
      </c>
      <c r="AG18">
        <v>0.12</v>
      </c>
      <c r="AH18">
        <v>0</v>
      </c>
      <c r="AI18">
        <v>0</v>
      </c>
      <c r="AK18">
        <v>0.12</v>
      </c>
      <c r="AL18">
        <v>0.19</v>
      </c>
      <c r="AM18">
        <v>0.56000000000000005</v>
      </c>
      <c r="AN18">
        <v>0.14000000000000001</v>
      </c>
      <c r="AO18">
        <v>0</v>
      </c>
      <c r="AP18">
        <v>0</v>
      </c>
      <c r="AQ18">
        <v>0</v>
      </c>
      <c r="AR18">
        <v>0</v>
      </c>
      <c r="AS18">
        <v>7.0000000000000007E-2</v>
      </c>
      <c r="AT18">
        <v>0.09</v>
      </c>
      <c r="AU18">
        <v>0.74</v>
      </c>
      <c r="AV18">
        <v>0.09</v>
      </c>
      <c r="AW18">
        <v>0</v>
      </c>
      <c r="AX18">
        <v>0</v>
      </c>
      <c r="AY18">
        <v>0</v>
      </c>
      <c r="AZ18">
        <v>0.19</v>
      </c>
      <c r="BA18">
        <v>0.12</v>
      </c>
      <c r="BB18">
        <v>0.53</v>
      </c>
      <c r="BC18">
        <v>0.16</v>
      </c>
      <c r="BD18">
        <v>0</v>
      </c>
      <c r="BE18">
        <v>0</v>
      </c>
      <c r="BF18">
        <v>0</v>
      </c>
      <c r="BG18">
        <v>0.16</v>
      </c>
      <c r="BH18">
        <v>0.16</v>
      </c>
      <c r="BI18">
        <v>0.53</v>
      </c>
      <c r="BJ18">
        <v>0.14000000000000001</v>
      </c>
      <c r="BK18">
        <v>0</v>
      </c>
      <c r="BL18">
        <v>0</v>
      </c>
      <c r="BM18">
        <v>0</v>
      </c>
      <c r="BN18">
        <v>0.1</v>
      </c>
      <c r="BO18">
        <v>0.17</v>
      </c>
      <c r="BP18">
        <v>0.56999999999999995</v>
      </c>
      <c r="BQ18">
        <v>0.17</v>
      </c>
      <c r="BR18">
        <v>0</v>
      </c>
      <c r="BS18">
        <v>0</v>
      </c>
      <c r="BT18">
        <v>0</v>
      </c>
      <c r="BU18">
        <v>0.05</v>
      </c>
      <c r="BV18">
        <v>0.21</v>
      </c>
      <c r="BW18">
        <v>0.62</v>
      </c>
      <c r="BX18">
        <v>0.12</v>
      </c>
      <c r="BY18">
        <v>0</v>
      </c>
      <c r="BZ18">
        <v>0</v>
      </c>
    </row>
    <row r="19" spans="1:78" x14ac:dyDescent="0.25">
      <c r="A19" t="s">
        <v>5</v>
      </c>
      <c r="B19" s="12">
        <f t="shared" si="6"/>
        <v>0.29699999999999999</v>
      </c>
      <c r="C19" s="12">
        <f t="shared" si="7"/>
        <v>8.9999999999999983E-2</v>
      </c>
      <c r="D19" s="12">
        <f t="shared" si="8"/>
        <v>0.16200000000000001</v>
      </c>
      <c r="E19" s="11">
        <f t="shared" si="9"/>
        <v>0.44500000000000012</v>
      </c>
      <c r="F19" s="12"/>
      <c r="I19">
        <v>0.18</v>
      </c>
      <c r="J19">
        <v>0.18</v>
      </c>
      <c r="K19">
        <v>0.27</v>
      </c>
      <c r="L19">
        <v>0.36</v>
      </c>
      <c r="M19">
        <v>0</v>
      </c>
      <c r="N19">
        <v>0</v>
      </c>
      <c r="P19">
        <v>0.27</v>
      </c>
      <c r="Q19">
        <v>0.09</v>
      </c>
      <c r="R19">
        <v>0.18</v>
      </c>
      <c r="S19">
        <v>0.45</v>
      </c>
      <c r="T19">
        <v>0</v>
      </c>
      <c r="U19">
        <v>0</v>
      </c>
      <c r="W19">
        <v>0.36</v>
      </c>
      <c r="X19">
        <v>0.09</v>
      </c>
      <c r="Y19">
        <v>0.45</v>
      </c>
      <c r="Z19">
        <v>0.09</v>
      </c>
      <c r="AA19">
        <v>0</v>
      </c>
      <c r="AB19">
        <v>0</v>
      </c>
      <c r="AD19">
        <v>0.36</v>
      </c>
      <c r="AE19">
        <v>0.09</v>
      </c>
      <c r="AF19">
        <v>0.18</v>
      </c>
      <c r="AG19">
        <v>0.36</v>
      </c>
      <c r="AH19">
        <v>0</v>
      </c>
      <c r="AI19">
        <v>0</v>
      </c>
      <c r="AK19">
        <v>0.45</v>
      </c>
      <c r="AL19">
        <v>0</v>
      </c>
      <c r="AM19">
        <v>0</v>
      </c>
      <c r="AN19">
        <v>0.55000000000000004</v>
      </c>
      <c r="AO19">
        <v>0</v>
      </c>
      <c r="AP19">
        <v>0</v>
      </c>
      <c r="AQ19">
        <v>0</v>
      </c>
      <c r="AR19">
        <v>0</v>
      </c>
      <c r="AS19">
        <v>0.36</v>
      </c>
      <c r="AT19">
        <v>0.09</v>
      </c>
      <c r="AU19">
        <v>0</v>
      </c>
      <c r="AV19">
        <v>0.55000000000000004</v>
      </c>
      <c r="AW19">
        <v>0</v>
      </c>
      <c r="AX19">
        <v>0</v>
      </c>
      <c r="AY19">
        <v>0</v>
      </c>
      <c r="AZ19">
        <v>0.27</v>
      </c>
      <c r="BA19">
        <v>0.09</v>
      </c>
      <c r="BB19">
        <v>0</v>
      </c>
      <c r="BC19">
        <v>0.64</v>
      </c>
      <c r="BD19">
        <v>0</v>
      </c>
      <c r="BE19">
        <v>0</v>
      </c>
      <c r="BF19">
        <v>0</v>
      </c>
      <c r="BG19">
        <v>0.09</v>
      </c>
      <c r="BH19">
        <v>0.09</v>
      </c>
      <c r="BI19">
        <v>0.27</v>
      </c>
      <c r="BJ19">
        <v>0.55000000000000004</v>
      </c>
      <c r="BK19">
        <v>0</v>
      </c>
      <c r="BL19">
        <v>0</v>
      </c>
      <c r="BM19">
        <v>0</v>
      </c>
      <c r="BN19">
        <v>0.27</v>
      </c>
      <c r="BO19">
        <v>0.09</v>
      </c>
      <c r="BP19">
        <v>0.18</v>
      </c>
      <c r="BQ19">
        <v>0.45</v>
      </c>
      <c r="BR19">
        <v>0</v>
      </c>
      <c r="BS19">
        <v>0</v>
      </c>
      <c r="BT19">
        <v>0</v>
      </c>
      <c r="BU19">
        <v>0.36</v>
      </c>
      <c r="BV19">
        <v>0.09</v>
      </c>
      <c r="BW19">
        <v>0.09</v>
      </c>
      <c r="BX19">
        <v>0.45</v>
      </c>
      <c r="BY19">
        <v>0</v>
      </c>
      <c r="BZ19">
        <v>0</v>
      </c>
    </row>
    <row r="20" spans="1:78" x14ac:dyDescent="0.25">
      <c r="B20" s="12"/>
      <c r="C20" s="12"/>
      <c r="D20" s="12"/>
      <c r="E20" s="12"/>
      <c r="G20" s="12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B21" s="12"/>
      <c r="C21" s="12"/>
      <c r="D21" s="12"/>
      <c r="E21" s="12"/>
      <c r="F21" s="12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</row>
    <row r="22" spans="1:78" x14ac:dyDescent="0.25">
      <c r="B22" s="12"/>
      <c r="C22" s="12"/>
      <c r="D22" s="12"/>
      <c r="E22" s="12"/>
      <c r="F22" s="12"/>
      <c r="G22" s="12"/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>
        <f>AVERAGE(I23,P23,W23,AD23,AK23,AS23,AZ23,BG23,BN23,BU23)</f>
        <v>0.59299999999999997</v>
      </c>
      <c r="C23" s="12"/>
      <c r="D23" s="12"/>
      <c r="E23" s="12"/>
      <c r="F23" s="12"/>
      <c r="G23" s="12"/>
      <c r="I23">
        <v>0.64</v>
      </c>
      <c r="J23">
        <v>68</v>
      </c>
      <c r="P23">
        <v>0.49</v>
      </c>
      <c r="Q23">
        <v>71</v>
      </c>
      <c r="W23">
        <v>0.59</v>
      </c>
      <c r="X23">
        <v>71</v>
      </c>
      <c r="AD23">
        <v>0.62</v>
      </c>
      <c r="AE23">
        <v>71</v>
      </c>
      <c r="AK23">
        <v>0.56999999999999995</v>
      </c>
      <c r="AL23">
        <v>71</v>
      </c>
      <c r="AQ23">
        <v>0</v>
      </c>
      <c r="AR23">
        <v>0</v>
      </c>
      <c r="AS23">
        <v>0.62</v>
      </c>
      <c r="AT23">
        <v>71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0.62</v>
      </c>
      <c r="BA23">
        <v>71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0.62</v>
      </c>
      <c r="BH23">
        <v>70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0.57999999999999996</v>
      </c>
      <c r="BO23">
        <v>69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0.57999999999999996</v>
      </c>
      <c r="BV23">
        <v>69</v>
      </c>
      <c r="BW23">
        <v>0</v>
      </c>
      <c r="BX23">
        <v>0</v>
      </c>
      <c r="BY23">
        <v>0</v>
      </c>
      <c r="BZ23">
        <v>0</v>
      </c>
    </row>
    <row r="25" spans="1:78" x14ac:dyDescent="0.25">
      <c r="B25" s="1"/>
      <c r="C25" s="1"/>
      <c r="D25" s="1"/>
      <c r="E25" s="1"/>
      <c r="F25" s="1"/>
    </row>
    <row r="26" spans="1:78" x14ac:dyDescent="0.25">
      <c r="A26" s="1"/>
      <c r="D26" s="1"/>
      <c r="E26" s="1"/>
      <c r="F26" s="1"/>
    </row>
    <row r="27" spans="1:78" x14ac:dyDescent="0.25">
      <c r="A27" s="1"/>
      <c r="D27" s="1"/>
      <c r="E27" s="1"/>
      <c r="F27" s="1"/>
    </row>
    <row r="28" spans="1:78" x14ac:dyDescent="0.25">
      <c r="A28" s="1"/>
      <c r="D28" s="1"/>
      <c r="E28" s="1"/>
      <c r="F28" s="1"/>
    </row>
    <row r="29" spans="1:78" x14ac:dyDescent="0.25">
      <c r="A29" s="1"/>
      <c r="D29" s="1"/>
      <c r="E29" s="1"/>
      <c r="F29" s="1"/>
    </row>
    <row r="30" spans="1:78" x14ac:dyDescent="0.25">
      <c r="A30" s="1"/>
      <c r="D30" s="1"/>
      <c r="E30" s="1"/>
      <c r="F30" s="1"/>
    </row>
    <row r="31" spans="1:78" x14ac:dyDescent="0.25">
      <c r="D31" s="1"/>
      <c r="E31" s="1"/>
      <c r="F31" s="1"/>
    </row>
    <row r="32" spans="1:78" x14ac:dyDescent="0.25">
      <c r="B32" s="1"/>
      <c r="C32" s="1"/>
      <c r="D32" s="1"/>
      <c r="E32" s="1"/>
      <c r="F32" s="1"/>
    </row>
    <row r="33" spans="2:6" x14ac:dyDescent="0.25">
      <c r="B33" s="1"/>
      <c r="C33" s="1"/>
      <c r="D33" s="1"/>
      <c r="E33" s="1"/>
      <c r="F33" s="1"/>
    </row>
    <row r="34" spans="2:6" x14ac:dyDescent="0.25">
      <c r="B34" s="1"/>
      <c r="C34" s="1"/>
      <c r="D34" s="1"/>
      <c r="E34" s="1"/>
      <c r="F34" s="1"/>
    </row>
    <row r="35" spans="2:6" x14ac:dyDescent="0.25">
      <c r="B35" s="1"/>
      <c r="C35" s="1"/>
      <c r="D35" s="1"/>
      <c r="E35" s="1"/>
      <c r="F35" s="1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DC36F-8518-4D59-A418-572F189FF9B6}">
  <dimension ref="A4:AP35"/>
  <sheetViews>
    <sheetView topLeftCell="A4" workbookViewId="0">
      <selection activeCell="B32" sqref="B32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0.95199999999999996</v>
      </c>
      <c r="C5" s="1">
        <f t="shared" ref="C5:G5" si="0">AVERAGE(J5,Q5,X5,AE5,AL5)</f>
        <v>2.4E-2</v>
      </c>
      <c r="D5" s="1">
        <f t="shared" si="0"/>
        <v>1.5999999999999997E-2</v>
      </c>
      <c r="E5" s="1">
        <f t="shared" si="0"/>
        <v>4.0000000000000001E-3</v>
      </c>
      <c r="F5" s="1">
        <f t="shared" si="0"/>
        <v>0</v>
      </c>
      <c r="G5" s="1">
        <f t="shared" si="0"/>
        <v>0</v>
      </c>
      <c r="I5">
        <v>0.96</v>
      </c>
      <c r="J5">
        <v>0.01</v>
      </c>
      <c r="K5">
        <v>0.03</v>
      </c>
      <c r="L5">
        <v>0</v>
      </c>
      <c r="M5">
        <v>0</v>
      </c>
      <c r="N5">
        <v>0</v>
      </c>
      <c r="P5">
        <v>0.94</v>
      </c>
      <c r="Q5">
        <v>0.03</v>
      </c>
      <c r="R5">
        <v>0.03</v>
      </c>
      <c r="S5">
        <v>0</v>
      </c>
      <c r="T5">
        <v>0</v>
      </c>
      <c r="U5">
        <v>0</v>
      </c>
      <c r="W5">
        <v>0.93</v>
      </c>
      <c r="X5">
        <v>0.04</v>
      </c>
      <c r="Y5">
        <v>0.01</v>
      </c>
      <c r="Z5">
        <v>0.01</v>
      </c>
      <c r="AA5">
        <v>0</v>
      </c>
      <c r="AB5">
        <v>0</v>
      </c>
      <c r="AD5">
        <v>0.94</v>
      </c>
      <c r="AE5">
        <v>0.03</v>
      </c>
      <c r="AF5">
        <v>0.01</v>
      </c>
      <c r="AG5">
        <v>0.01</v>
      </c>
      <c r="AH5">
        <v>0</v>
      </c>
      <c r="AI5">
        <v>0</v>
      </c>
      <c r="AK5">
        <v>0.99</v>
      </c>
      <c r="AL5">
        <v>0.01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2" si="1">AVERAGE(I6,P6,W6,AD6,AK6)</f>
        <v>0</v>
      </c>
      <c r="C6" s="11">
        <f>AVERAGE(J6,Q6,X6,AE6,AL6)</f>
        <v>0.92799999999999994</v>
      </c>
      <c r="D6" s="1">
        <f t="shared" ref="D6:D10" si="2">AVERAGE(K6,R6,Y6,AF6,AM6)</f>
        <v>5.800000000000001E-2</v>
      </c>
      <c r="E6" s="1">
        <f t="shared" ref="E6:E10" si="3">AVERAGE(L6,S6,Z6,AG6,AN6)</f>
        <v>0.02</v>
      </c>
      <c r="F6" s="1">
        <f t="shared" ref="F6:F10" si="4">AVERAGE(M6,T6,AA6,AH6,AO6)</f>
        <v>0</v>
      </c>
      <c r="G6" s="1">
        <f t="shared" ref="G6:G10" si="5">AVERAGE(N6,U6,AB6,AI6,AP6)</f>
        <v>0</v>
      </c>
      <c r="I6">
        <v>0</v>
      </c>
      <c r="J6">
        <v>0.95</v>
      </c>
      <c r="K6">
        <v>0.03</v>
      </c>
      <c r="L6">
        <v>0.02</v>
      </c>
      <c r="M6">
        <v>0</v>
      </c>
      <c r="N6">
        <v>0</v>
      </c>
      <c r="P6">
        <v>0</v>
      </c>
      <c r="Q6">
        <v>0.92</v>
      </c>
      <c r="R6">
        <v>7.0000000000000007E-2</v>
      </c>
      <c r="S6">
        <v>0.02</v>
      </c>
      <c r="T6">
        <v>0</v>
      </c>
      <c r="U6">
        <v>0</v>
      </c>
      <c r="W6">
        <v>0</v>
      </c>
      <c r="X6">
        <v>0.92</v>
      </c>
      <c r="Y6">
        <v>7.0000000000000007E-2</v>
      </c>
      <c r="Z6">
        <v>0.02</v>
      </c>
      <c r="AA6">
        <v>0</v>
      </c>
      <c r="AB6">
        <v>0</v>
      </c>
      <c r="AD6">
        <v>0</v>
      </c>
      <c r="AE6">
        <v>0.92</v>
      </c>
      <c r="AF6">
        <v>7.0000000000000007E-2</v>
      </c>
      <c r="AG6">
        <v>0.02</v>
      </c>
      <c r="AH6">
        <v>0</v>
      </c>
      <c r="AI6">
        <v>0</v>
      </c>
      <c r="AK6">
        <v>0</v>
      </c>
      <c r="AL6">
        <v>0.93</v>
      </c>
      <c r="AM6">
        <v>0.05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0.17599999999999999</v>
      </c>
      <c r="C7" s="1">
        <f t="shared" ref="C6:C10" si="6">AVERAGE(J7,Q7,X7,AE7,AL7)</f>
        <v>0.29000000000000004</v>
      </c>
      <c r="D7" s="11">
        <f>AVERAGE(K7,R7,Y7,AF7,AM7)</f>
        <v>0.43</v>
      </c>
      <c r="E7" s="1">
        <f t="shared" si="3"/>
        <v>0.10400000000000001</v>
      </c>
      <c r="F7" s="1">
        <f t="shared" si="4"/>
        <v>0</v>
      </c>
      <c r="G7" s="1">
        <f t="shared" si="5"/>
        <v>0</v>
      </c>
      <c r="I7">
        <v>0.17</v>
      </c>
      <c r="J7">
        <v>0.28000000000000003</v>
      </c>
      <c r="K7">
        <v>0.47</v>
      </c>
      <c r="L7">
        <v>0.08</v>
      </c>
      <c r="M7">
        <v>0</v>
      </c>
      <c r="N7">
        <v>0</v>
      </c>
      <c r="P7">
        <v>0.14000000000000001</v>
      </c>
      <c r="Q7">
        <v>0.28999999999999998</v>
      </c>
      <c r="R7">
        <v>0.43</v>
      </c>
      <c r="S7">
        <v>0.14000000000000001</v>
      </c>
      <c r="T7">
        <v>0</v>
      </c>
      <c r="U7">
        <v>0</v>
      </c>
      <c r="W7">
        <v>0.19</v>
      </c>
      <c r="X7">
        <v>0.26</v>
      </c>
      <c r="Y7">
        <v>0.45</v>
      </c>
      <c r="Z7">
        <v>0.1</v>
      </c>
      <c r="AA7">
        <v>0</v>
      </c>
      <c r="AB7">
        <v>0</v>
      </c>
      <c r="AD7">
        <v>0.19</v>
      </c>
      <c r="AE7">
        <v>0.3</v>
      </c>
      <c r="AF7">
        <v>0.39</v>
      </c>
      <c r="AG7">
        <v>0.12</v>
      </c>
      <c r="AH7">
        <v>0</v>
      </c>
      <c r="AI7">
        <v>0</v>
      </c>
      <c r="AK7">
        <v>0.19</v>
      </c>
      <c r="AL7">
        <v>0.32</v>
      </c>
      <c r="AM7">
        <v>0.41</v>
      </c>
      <c r="AN7">
        <v>0.08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0.19</v>
      </c>
      <c r="C8" s="1">
        <f t="shared" si="6"/>
        <v>0.14200000000000002</v>
      </c>
      <c r="D8" s="1">
        <f t="shared" si="2"/>
        <v>0.14000000000000001</v>
      </c>
      <c r="E8" s="11">
        <f>AVERAGE(L8,S8,Z8,AG8,AN8)</f>
        <v>0.52800000000000002</v>
      </c>
      <c r="F8" s="1">
        <f t="shared" si="4"/>
        <v>0</v>
      </c>
      <c r="G8" s="1">
        <f t="shared" si="5"/>
        <v>0</v>
      </c>
      <c r="I8">
        <v>0.21</v>
      </c>
      <c r="J8">
        <v>0.13</v>
      </c>
      <c r="K8">
        <v>0.14000000000000001</v>
      </c>
      <c r="L8">
        <v>0.52</v>
      </c>
      <c r="M8">
        <v>0</v>
      </c>
      <c r="N8">
        <v>0</v>
      </c>
      <c r="P8">
        <v>0.13</v>
      </c>
      <c r="Q8">
        <v>0.13</v>
      </c>
      <c r="R8">
        <v>0.14000000000000001</v>
      </c>
      <c r="S8">
        <v>0.6</v>
      </c>
      <c r="T8">
        <v>0</v>
      </c>
      <c r="U8">
        <v>0</v>
      </c>
      <c r="W8">
        <v>0.19</v>
      </c>
      <c r="X8">
        <v>0.14000000000000001</v>
      </c>
      <c r="Y8">
        <v>0.14000000000000001</v>
      </c>
      <c r="Z8">
        <v>0.53</v>
      </c>
      <c r="AA8">
        <v>0</v>
      </c>
      <c r="AB8">
        <v>0</v>
      </c>
      <c r="AD8">
        <v>0.22</v>
      </c>
      <c r="AE8">
        <v>0.16</v>
      </c>
      <c r="AF8">
        <v>0.15</v>
      </c>
      <c r="AG8">
        <v>0.47</v>
      </c>
      <c r="AH8">
        <v>0</v>
      </c>
      <c r="AI8">
        <v>0</v>
      </c>
      <c r="AK8">
        <v>0.2</v>
      </c>
      <c r="AL8">
        <v>0.15</v>
      </c>
      <c r="AM8">
        <v>0.13</v>
      </c>
      <c r="AN8">
        <v>0.52</v>
      </c>
      <c r="AO8">
        <v>0</v>
      </c>
      <c r="AP8">
        <v>0</v>
      </c>
    </row>
    <row r="9" spans="1:42" x14ac:dyDescent="0.25">
      <c r="A9" t="s">
        <v>4</v>
      </c>
      <c r="B9" s="1">
        <f t="shared" si="1"/>
        <v>0</v>
      </c>
      <c r="C9" s="1">
        <f t="shared" si="6"/>
        <v>0</v>
      </c>
      <c r="D9" s="1">
        <f t="shared" si="2"/>
        <v>0</v>
      </c>
      <c r="E9" s="1">
        <f t="shared" si="3"/>
        <v>0</v>
      </c>
      <c r="F9" s="11">
        <f>AVERAGE(M9,T9,AA9,AH9,AO9)</f>
        <v>0</v>
      </c>
      <c r="G9" s="1">
        <f t="shared" si="5"/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 x14ac:dyDescent="0.25">
      <c r="A10" t="s">
        <v>5</v>
      </c>
      <c r="B10" s="1">
        <f t="shared" si="1"/>
        <v>0</v>
      </c>
      <c r="C10" s="1">
        <f t="shared" si="6"/>
        <v>0</v>
      </c>
      <c r="D10" s="1">
        <f t="shared" si="2"/>
        <v>0</v>
      </c>
      <c r="E10" s="1">
        <f t="shared" si="3"/>
        <v>0</v>
      </c>
      <c r="F10" s="1">
        <f t="shared" si="4"/>
        <v>0</v>
      </c>
      <c r="G10" s="11">
        <f>AVERAGE(N10,U10,AB10,AI10,AP10)</f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0.70799999999999996</v>
      </c>
      <c r="C12" s="1"/>
      <c r="D12" s="1"/>
      <c r="E12" s="1"/>
      <c r="F12" s="1"/>
      <c r="G12" s="1"/>
      <c r="I12">
        <v>0.72</v>
      </c>
      <c r="J12">
        <v>935</v>
      </c>
      <c r="P12">
        <v>0.72</v>
      </c>
      <c r="Q12">
        <v>931</v>
      </c>
      <c r="W12">
        <v>0.71</v>
      </c>
      <c r="X12">
        <v>932</v>
      </c>
      <c r="AD12">
        <v>0.68</v>
      </c>
      <c r="AE12">
        <v>933</v>
      </c>
      <c r="AK12">
        <v>0.71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30</v>
      </c>
      <c r="E15" t="s">
        <v>29</v>
      </c>
    </row>
    <row r="16" spans="1:42" x14ac:dyDescent="0.25">
      <c r="A16" t="s">
        <v>0</v>
      </c>
      <c r="B16" s="11">
        <f>AVERAGE(I16,P16,W16,AD16,AK16)</f>
        <v>0.84000000000000008</v>
      </c>
      <c r="C16" s="1">
        <f t="shared" ref="C16:C21" si="7">AVERAGE(J16,Q16,X16,AE16,AL16)</f>
        <v>6.7999999999999991E-2</v>
      </c>
      <c r="D16" s="1">
        <f t="shared" ref="D16:D21" si="8">AVERAGE(K16,R16,Y16,AF16,AM16)</f>
        <v>3.5999999999999997E-2</v>
      </c>
      <c r="E16" s="1">
        <f t="shared" ref="E16:E21" si="9">AVERAGE(L16,S16,Z16,AG16,AN16)</f>
        <v>5.6000000000000008E-2</v>
      </c>
      <c r="F16" s="1"/>
      <c r="G16" s="1"/>
      <c r="I16">
        <v>0.82</v>
      </c>
      <c r="J16">
        <v>0.12</v>
      </c>
      <c r="K16">
        <v>0.06</v>
      </c>
      <c r="L16">
        <v>0</v>
      </c>
      <c r="M16">
        <v>0</v>
      </c>
      <c r="N16">
        <v>0</v>
      </c>
      <c r="P16">
        <v>0.89</v>
      </c>
      <c r="Q16">
        <v>0</v>
      </c>
      <c r="R16">
        <v>0</v>
      </c>
      <c r="S16">
        <v>0.11</v>
      </c>
      <c r="T16">
        <v>0</v>
      </c>
      <c r="U16">
        <v>0</v>
      </c>
      <c r="W16">
        <v>0.83</v>
      </c>
      <c r="X16">
        <v>0</v>
      </c>
      <c r="Y16">
        <v>0.06</v>
      </c>
      <c r="Z16">
        <v>0.11</v>
      </c>
      <c r="AA16">
        <v>0</v>
      </c>
      <c r="AB16">
        <v>0</v>
      </c>
      <c r="AD16">
        <v>0.83</v>
      </c>
      <c r="AE16">
        <v>0.11</v>
      </c>
      <c r="AF16">
        <v>0</v>
      </c>
      <c r="AG16">
        <v>0.06</v>
      </c>
      <c r="AH16">
        <v>0</v>
      </c>
      <c r="AI16">
        <v>0</v>
      </c>
      <c r="AK16">
        <v>0.83</v>
      </c>
      <c r="AL16">
        <v>0.11</v>
      </c>
      <c r="AM16">
        <v>0.06</v>
      </c>
      <c r="AN16">
        <v>0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23" si="10">AVERAGE(I17,P17,W17,AD17,AK17)</f>
        <v>2.8000000000000004E-2</v>
      </c>
      <c r="C17" s="11">
        <f>AVERAGE(J17,Q17,X17,AE17,AL17)</f>
        <v>0.79</v>
      </c>
      <c r="D17" s="1">
        <f t="shared" si="8"/>
        <v>0.12000000000000002</v>
      </c>
      <c r="E17" s="1">
        <f t="shared" si="9"/>
        <v>6.6000000000000003E-2</v>
      </c>
      <c r="F17" s="1"/>
      <c r="G17" s="1"/>
      <c r="I17">
        <v>7.0000000000000007E-2</v>
      </c>
      <c r="J17">
        <v>0.6</v>
      </c>
      <c r="K17">
        <v>0.33</v>
      </c>
      <c r="L17">
        <v>0</v>
      </c>
      <c r="M17">
        <v>0</v>
      </c>
      <c r="N17">
        <v>0</v>
      </c>
      <c r="P17">
        <v>0</v>
      </c>
      <c r="Q17">
        <v>0.75</v>
      </c>
      <c r="R17">
        <v>0.13</v>
      </c>
      <c r="S17">
        <v>0.13</v>
      </c>
      <c r="T17">
        <v>0</v>
      </c>
      <c r="U17">
        <v>0</v>
      </c>
      <c r="W17">
        <v>0</v>
      </c>
      <c r="X17">
        <v>0.93</v>
      </c>
      <c r="Y17">
        <v>7.0000000000000007E-2</v>
      </c>
      <c r="Z17">
        <v>0</v>
      </c>
      <c r="AA17">
        <v>0</v>
      </c>
      <c r="AB17">
        <v>0</v>
      </c>
      <c r="AD17">
        <v>0</v>
      </c>
      <c r="AE17">
        <v>0.8</v>
      </c>
      <c r="AF17">
        <v>7.0000000000000007E-2</v>
      </c>
      <c r="AG17">
        <v>0.13</v>
      </c>
      <c r="AH17">
        <v>0</v>
      </c>
      <c r="AI17">
        <v>0</v>
      </c>
      <c r="AK17">
        <v>7.0000000000000007E-2</v>
      </c>
      <c r="AL17">
        <v>0.87</v>
      </c>
      <c r="AM17">
        <v>0</v>
      </c>
      <c r="AN17">
        <v>7.0000000000000007E-2</v>
      </c>
      <c r="AO17">
        <v>0</v>
      </c>
      <c r="AP17">
        <v>0</v>
      </c>
    </row>
    <row r="18" spans="1:42" x14ac:dyDescent="0.25">
      <c r="A18" t="s">
        <v>30</v>
      </c>
      <c r="B18" s="1">
        <f t="shared" si="10"/>
        <v>0.18200000000000002</v>
      </c>
      <c r="C18" s="1">
        <f t="shared" si="7"/>
        <v>0.30400000000000005</v>
      </c>
      <c r="D18" s="11">
        <f>AVERAGE(K18,R18,Y18,AF18,AM18)</f>
        <v>0.41200000000000003</v>
      </c>
      <c r="E18" s="1">
        <f t="shared" si="9"/>
        <v>9.6000000000000002E-2</v>
      </c>
      <c r="F18" s="1"/>
      <c r="G18" s="1"/>
      <c r="I18">
        <v>0.17</v>
      </c>
      <c r="J18">
        <v>0.25</v>
      </c>
      <c r="K18">
        <v>0.47</v>
      </c>
      <c r="L18">
        <v>0.1</v>
      </c>
      <c r="M18">
        <v>0</v>
      </c>
      <c r="N18">
        <v>0</v>
      </c>
      <c r="P18">
        <v>0.23</v>
      </c>
      <c r="Q18">
        <v>0.28999999999999998</v>
      </c>
      <c r="R18">
        <v>0.35</v>
      </c>
      <c r="S18">
        <v>0.13</v>
      </c>
      <c r="T18">
        <v>0</v>
      </c>
      <c r="U18">
        <v>0</v>
      </c>
      <c r="W18">
        <v>0.14000000000000001</v>
      </c>
      <c r="X18">
        <v>0.32</v>
      </c>
      <c r="Y18">
        <v>0.46</v>
      </c>
      <c r="Z18">
        <v>7.0000000000000007E-2</v>
      </c>
      <c r="AA18">
        <v>0</v>
      </c>
      <c r="AB18">
        <v>0</v>
      </c>
      <c r="AD18">
        <v>0.17</v>
      </c>
      <c r="AE18">
        <v>0.36</v>
      </c>
      <c r="AF18">
        <v>0.39</v>
      </c>
      <c r="AG18">
        <v>7.0000000000000007E-2</v>
      </c>
      <c r="AH18">
        <v>0</v>
      </c>
      <c r="AI18">
        <v>0</v>
      </c>
      <c r="AK18">
        <v>0.2</v>
      </c>
      <c r="AL18">
        <v>0.3</v>
      </c>
      <c r="AM18">
        <v>0.39</v>
      </c>
      <c r="AN18">
        <v>0.11</v>
      </c>
      <c r="AO18">
        <v>0</v>
      </c>
      <c r="AP18">
        <v>0</v>
      </c>
    </row>
    <row r="19" spans="1:42" x14ac:dyDescent="0.25">
      <c r="A19" t="s">
        <v>29</v>
      </c>
      <c r="B19" s="1">
        <f t="shared" si="10"/>
        <v>0.19800000000000001</v>
      </c>
      <c r="C19" s="1">
        <f t="shared" si="7"/>
        <v>0.156</v>
      </c>
      <c r="D19" s="1">
        <f t="shared" si="8"/>
        <v>0.14799999999999999</v>
      </c>
      <c r="E19" s="11">
        <f>AVERAGE(L19,S19,Z19,AG19,AN19)</f>
        <v>0.496</v>
      </c>
      <c r="F19" s="1"/>
      <c r="G19" s="1"/>
      <c r="I19">
        <v>0.18</v>
      </c>
      <c r="J19">
        <v>0.18</v>
      </c>
      <c r="K19">
        <v>0.16</v>
      </c>
      <c r="L19">
        <v>0.48</v>
      </c>
      <c r="M19">
        <v>0</v>
      </c>
      <c r="N19">
        <v>0</v>
      </c>
      <c r="P19">
        <v>0.12</v>
      </c>
      <c r="Q19">
        <v>0.18</v>
      </c>
      <c r="R19">
        <v>0.16</v>
      </c>
      <c r="S19">
        <v>0.54</v>
      </c>
      <c r="T19">
        <v>0</v>
      </c>
      <c r="U19">
        <v>0</v>
      </c>
      <c r="W19">
        <v>0.16</v>
      </c>
      <c r="X19">
        <v>0.14000000000000001</v>
      </c>
      <c r="Y19">
        <v>0.24</v>
      </c>
      <c r="Z19">
        <v>0.46</v>
      </c>
      <c r="AA19">
        <v>0</v>
      </c>
      <c r="AB19">
        <v>0</v>
      </c>
      <c r="AD19">
        <v>0.19</v>
      </c>
      <c r="AE19">
        <v>0.12</v>
      </c>
      <c r="AF19">
        <v>0.1</v>
      </c>
      <c r="AG19">
        <v>0.59</v>
      </c>
      <c r="AH19">
        <v>0</v>
      </c>
      <c r="AI19">
        <v>0</v>
      </c>
      <c r="AK19">
        <v>0.34</v>
      </c>
      <c r="AL19">
        <v>0.16</v>
      </c>
      <c r="AM19">
        <v>0.08</v>
      </c>
      <c r="AN19">
        <v>0.41</v>
      </c>
      <c r="AO19">
        <v>0</v>
      </c>
      <c r="AP19">
        <v>0</v>
      </c>
    </row>
    <row r="20" spans="1:42" x14ac:dyDescent="0.25">
      <c r="B20" s="1"/>
      <c r="C20" s="1"/>
      <c r="D20" s="1"/>
      <c r="E20" s="1"/>
      <c r="F20" s="11"/>
      <c r="G20" s="1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 x14ac:dyDescent="0.25">
      <c r="B21" s="11">
        <f>AVERAGE(I23,P23,W23,AD23,AK23)</f>
        <v>0.63400000000000001</v>
      </c>
      <c r="C21" s="1"/>
      <c r="D21" s="1"/>
      <c r="E21" s="1"/>
      <c r="F21" s="1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t="s">
        <v>0</v>
      </c>
      <c r="C23" t="s">
        <v>2</v>
      </c>
      <c r="D23" t="s">
        <v>30</v>
      </c>
      <c r="E23" t="s">
        <v>29</v>
      </c>
      <c r="F23" s="1"/>
      <c r="G23" s="1"/>
      <c r="I23">
        <v>0.59</v>
      </c>
      <c r="J23">
        <v>231</v>
      </c>
      <c r="P23">
        <v>0.63</v>
      </c>
      <c r="Q23">
        <v>235</v>
      </c>
      <c r="W23">
        <v>0.67</v>
      </c>
      <c r="X23">
        <v>234</v>
      </c>
      <c r="AD23">
        <v>0.65</v>
      </c>
      <c r="AE23">
        <v>233</v>
      </c>
      <c r="AK23">
        <v>0.63</v>
      </c>
      <c r="AL23">
        <v>233</v>
      </c>
    </row>
    <row r="24" spans="1:42" x14ac:dyDescent="0.25">
      <c r="A24" t="s">
        <v>0</v>
      </c>
      <c r="B24" s="11">
        <v>0.66199999999999992</v>
      </c>
      <c r="C24" s="1">
        <v>1.2E-2</v>
      </c>
      <c r="D24" s="1">
        <v>0.18</v>
      </c>
      <c r="E24" s="1">
        <v>0.14800000000000002</v>
      </c>
    </row>
    <row r="25" spans="1:42" x14ac:dyDescent="0.25">
      <c r="A25" t="s">
        <v>2</v>
      </c>
      <c r="B25" s="1">
        <v>2.8000000000000004E-2</v>
      </c>
      <c r="C25" s="11">
        <v>0.61799999999999999</v>
      </c>
      <c r="D25" s="1">
        <v>0.10600000000000001</v>
      </c>
      <c r="E25" s="1">
        <v>0.252</v>
      </c>
    </row>
    <row r="26" spans="1:42" x14ac:dyDescent="0.25">
      <c r="A26" t="s">
        <v>30</v>
      </c>
      <c r="B26" s="1">
        <v>0.19800000000000001</v>
      </c>
      <c r="C26" s="1">
        <v>0.19400000000000001</v>
      </c>
      <c r="D26" s="11">
        <v>0.34400000000000003</v>
      </c>
      <c r="E26" s="1">
        <v>0.26200000000000001</v>
      </c>
    </row>
    <row r="27" spans="1:42" x14ac:dyDescent="0.25">
      <c r="A27" t="s">
        <v>29</v>
      </c>
      <c r="B27" s="1">
        <v>9.8000000000000004E-2</v>
      </c>
      <c r="C27" s="1">
        <v>0.10800000000000001</v>
      </c>
      <c r="D27" s="1">
        <v>0.14399999999999999</v>
      </c>
      <c r="E27" s="11">
        <v>0.64800000000000002</v>
      </c>
    </row>
    <row r="28" spans="1:42" x14ac:dyDescent="0.25">
      <c r="C28" s="1"/>
      <c r="D28" s="1"/>
      <c r="E28" s="1"/>
    </row>
    <row r="29" spans="1:42" x14ac:dyDescent="0.25">
      <c r="B29" s="11">
        <v>0.56799999999999995</v>
      </c>
      <c r="C29" s="1"/>
      <c r="D29" s="1"/>
      <c r="E29" s="1"/>
    </row>
    <row r="32" spans="1:42" x14ac:dyDescent="0.25">
      <c r="B32" s="11">
        <f>B24-B16</f>
        <v>-0.17800000000000016</v>
      </c>
      <c r="C32" s="1">
        <f t="shared" ref="C32:E32" si="11">C24-C16</f>
        <v>-5.5999999999999994E-2</v>
      </c>
      <c r="D32" s="1">
        <f t="shared" si="11"/>
        <v>0.14399999999999999</v>
      </c>
      <c r="E32" s="1">
        <f t="shared" si="11"/>
        <v>9.2000000000000012E-2</v>
      </c>
    </row>
    <row r="33" spans="2:6" x14ac:dyDescent="0.25">
      <c r="B33" s="1">
        <f t="shared" ref="B33:E33" si="12">B25-B17</f>
        <v>0</v>
      </c>
      <c r="C33" s="11">
        <f t="shared" si="12"/>
        <v>-0.17200000000000004</v>
      </c>
      <c r="D33" s="1">
        <f t="shared" si="12"/>
        <v>-1.4000000000000012E-2</v>
      </c>
      <c r="E33" s="1">
        <f t="shared" si="12"/>
        <v>0.186</v>
      </c>
    </row>
    <row r="34" spans="2:6" x14ac:dyDescent="0.25">
      <c r="B34" s="1">
        <f t="shared" ref="B34:E34" si="13">B26-B18</f>
        <v>1.5999999999999986E-2</v>
      </c>
      <c r="C34" s="1">
        <f t="shared" si="13"/>
        <v>-0.11000000000000004</v>
      </c>
      <c r="D34" s="11">
        <f t="shared" si="13"/>
        <v>-6.8000000000000005E-2</v>
      </c>
      <c r="E34" s="1">
        <f t="shared" si="13"/>
        <v>0.16600000000000001</v>
      </c>
    </row>
    <row r="35" spans="2:6" x14ac:dyDescent="0.25">
      <c r="B35" s="1">
        <f t="shared" ref="B35:E35" si="14">B27-B19</f>
        <v>-0.1</v>
      </c>
      <c r="C35" s="1">
        <f t="shared" si="14"/>
        <v>-4.7999999999999987E-2</v>
      </c>
      <c r="D35" s="1">
        <f t="shared" si="14"/>
        <v>-4.0000000000000036E-3</v>
      </c>
      <c r="E35" s="11">
        <f t="shared" si="14"/>
        <v>0.15200000000000002</v>
      </c>
      <c r="F35" s="3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2F226-D02D-43DC-9D2A-B12B90E8EA61}">
  <dimension ref="A4:AP23"/>
  <sheetViews>
    <sheetView workbookViewId="0">
      <selection activeCell="F21" sqref="F21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30</v>
      </c>
      <c r="E4" t="s">
        <v>29</v>
      </c>
    </row>
    <row r="5" spans="1:42" x14ac:dyDescent="0.25">
      <c r="A5" t="s">
        <v>0</v>
      </c>
      <c r="B5" s="11">
        <f>AVERAGE(I5,P5,W5,AD5,AK5)</f>
        <v>1</v>
      </c>
      <c r="C5" s="1">
        <f t="shared" ref="C5:E5" si="0">AVERAGE(J5,Q5,X5,AE5,AL5)</f>
        <v>0</v>
      </c>
      <c r="D5" s="1">
        <f t="shared" si="0"/>
        <v>0</v>
      </c>
      <c r="E5" s="1">
        <f t="shared" si="0"/>
        <v>0</v>
      </c>
      <c r="F5" s="1"/>
      <c r="G5" s="1"/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8" si="1">AVERAGE(I6,P6,W6,AD6,AK6)</f>
        <v>0</v>
      </c>
      <c r="C6" s="11">
        <f>AVERAGE(J6,Q6,X6,AE6,AL6)</f>
        <v>0.99600000000000011</v>
      </c>
      <c r="D6" s="1">
        <f t="shared" ref="D6:D8" si="2">AVERAGE(K6,R6,Y6,AF6,AM6)</f>
        <v>4.0000000000000001E-3</v>
      </c>
      <c r="E6" s="1">
        <f t="shared" ref="E6:E7" si="3">AVERAGE(L6,S6,Z6,AG6,AN6)</f>
        <v>0</v>
      </c>
      <c r="F6" s="1"/>
      <c r="G6" s="1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0.98</v>
      </c>
      <c r="Y6">
        <v>0.02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30</v>
      </c>
      <c r="B7" s="1">
        <f t="shared" si="1"/>
        <v>0.13400000000000001</v>
      </c>
      <c r="C7" s="1">
        <f t="shared" ref="C7:C8" si="4">AVERAGE(J7,Q7,X7,AE7,AL7)</f>
        <v>0.15000000000000002</v>
      </c>
      <c r="D7" s="11">
        <f>AVERAGE(K7,R7,Y7,AF7,AM7)</f>
        <v>0.52400000000000002</v>
      </c>
      <c r="E7" s="1">
        <f t="shared" si="3"/>
        <v>0.192</v>
      </c>
      <c r="F7" s="1"/>
      <c r="G7" s="1"/>
      <c r="I7">
        <v>0.15</v>
      </c>
      <c r="J7">
        <v>0.15</v>
      </c>
      <c r="K7">
        <v>0.5</v>
      </c>
      <c r="L7">
        <v>0.21</v>
      </c>
      <c r="M7">
        <v>0</v>
      </c>
      <c r="N7">
        <v>0</v>
      </c>
      <c r="P7">
        <v>0.13</v>
      </c>
      <c r="Q7">
        <v>0.14000000000000001</v>
      </c>
      <c r="R7">
        <v>0.55000000000000004</v>
      </c>
      <c r="S7">
        <v>0.18</v>
      </c>
      <c r="T7">
        <v>0</v>
      </c>
      <c r="U7">
        <v>0</v>
      </c>
      <c r="W7">
        <v>0.12</v>
      </c>
      <c r="X7">
        <v>0.15</v>
      </c>
      <c r="Y7">
        <v>0.54</v>
      </c>
      <c r="Z7">
        <v>0.18</v>
      </c>
      <c r="AA7">
        <v>0</v>
      </c>
      <c r="AB7">
        <v>0</v>
      </c>
      <c r="AD7">
        <v>0.14000000000000001</v>
      </c>
      <c r="AE7">
        <v>0.16</v>
      </c>
      <c r="AF7">
        <v>0.51</v>
      </c>
      <c r="AG7">
        <v>0.19</v>
      </c>
      <c r="AH7">
        <v>0</v>
      </c>
      <c r="AI7">
        <v>0</v>
      </c>
      <c r="AK7">
        <v>0.13</v>
      </c>
      <c r="AL7">
        <v>0.15</v>
      </c>
      <c r="AM7">
        <v>0.52</v>
      </c>
      <c r="AN7">
        <v>0.2</v>
      </c>
      <c r="AO7">
        <v>0</v>
      </c>
      <c r="AP7">
        <v>0</v>
      </c>
    </row>
    <row r="8" spans="1:42" x14ac:dyDescent="0.25">
      <c r="A8" t="s">
        <v>29</v>
      </c>
      <c r="B8" s="1">
        <f t="shared" si="1"/>
        <v>0.05</v>
      </c>
      <c r="C8" s="1">
        <f t="shared" si="4"/>
        <v>4.8000000000000001E-2</v>
      </c>
      <c r="D8" s="1">
        <f t="shared" si="2"/>
        <v>6.6000000000000003E-2</v>
      </c>
      <c r="E8" s="11">
        <f>AVERAGE(L8,S8,Z8,AG8,AN8)</f>
        <v>0.83199999999999985</v>
      </c>
      <c r="F8" s="1"/>
      <c r="G8" s="1"/>
      <c r="I8">
        <v>0.06</v>
      </c>
      <c r="J8">
        <v>0.04</v>
      </c>
      <c r="K8">
        <v>0.06</v>
      </c>
      <c r="L8">
        <v>0.84</v>
      </c>
      <c r="M8">
        <v>0</v>
      </c>
      <c r="N8">
        <v>0</v>
      </c>
      <c r="P8">
        <v>0.06</v>
      </c>
      <c r="Q8">
        <v>0.05</v>
      </c>
      <c r="R8">
        <v>0.08</v>
      </c>
      <c r="S8">
        <v>0.81</v>
      </c>
      <c r="T8">
        <v>0</v>
      </c>
      <c r="U8">
        <v>0</v>
      </c>
      <c r="W8">
        <v>0.03</v>
      </c>
      <c r="X8">
        <v>0.06</v>
      </c>
      <c r="Y8">
        <v>0.06</v>
      </c>
      <c r="Z8">
        <v>0.84</v>
      </c>
      <c r="AA8">
        <v>0</v>
      </c>
      <c r="AB8">
        <v>0</v>
      </c>
      <c r="AD8">
        <v>0.05</v>
      </c>
      <c r="AE8">
        <v>0.04</v>
      </c>
      <c r="AF8">
        <v>0.06</v>
      </c>
      <c r="AG8">
        <v>0.84</v>
      </c>
      <c r="AH8">
        <v>0</v>
      </c>
      <c r="AI8">
        <v>0</v>
      </c>
      <c r="AK8">
        <v>0.05</v>
      </c>
      <c r="AL8">
        <v>0.05</v>
      </c>
      <c r="AM8">
        <v>7.0000000000000007E-2</v>
      </c>
      <c r="AN8">
        <v>0.83</v>
      </c>
      <c r="AO8">
        <v>0</v>
      </c>
      <c r="AP8">
        <v>0</v>
      </c>
    </row>
    <row r="9" spans="1:42" x14ac:dyDescent="0.25">
      <c r="B9" s="1"/>
      <c r="C9" s="1"/>
      <c r="D9" s="1"/>
      <c r="E9" s="1"/>
      <c r="F9" s="11"/>
      <c r="G9" s="1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 x14ac:dyDescent="0.25">
      <c r="B10" s="1"/>
      <c r="C10" s="1"/>
      <c r="D10" s="1"/>
      <c r="E10" s="1"/>
      <c r="F10" s="1"/>
      <c r="G10" s="11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0.83799999999999986</v>
      </c>
      <c r="C12" s="1"/>
      <c r="D12" s="1"/>
      <c r="E12" s="1"/>
      <c r="F12" s="1"/>
      <c r="G12" s="1"/>
      <c r="I12">
        <v>0.83</v>
      </c>
      <c r="J12">
        <v>935</v>
      </c>
      <c r="P12">
        <v>0.84</v>
      </c>
      <c r="Q12">
        <v>931</v>
      </c>
      <c r="W12">
        <v>0.84</v>
      </c>
      <c r="X12">
        <v>932</v>
      </c>
      <c r="AD12">
        <v>0.84</v>
      </c>
      <c r="AE12">
        <v>933</v>
      </c>
      <c r="AK12">
        <v>0.84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30</v>
      </c>
      <c r="E15" t="s">
        <v>29</v>
      </c>
    </row>
    <row r="16" spans="1:42" x14ac:dyDescent="0.25">
      <c r="A16" t="s">
        <v>0</v>
      </c>
      <c r="B16" s="11">
        <f>AVERAGE(I16,P16,W16,AD16,AK16)</f>
        <v>0.66199999999999992</v>
      </c>
      <c r="C16" s="1">
        <f t="shared" ref="C16:C19" si="5">AVERAGE(J16,Q16,X16,AE16,AL16)</f>
        <v>1.2E-2</v>
      </c>
      <c r="D16" s="1">
        <f t="shared" ref="D16:D19" si="6">AVERAGE(K16,R16,Y16,AF16,AM16)</f>
        <v>0.18</v>
      </c>
      <c r="E16" s="1">
        <f t="shared" ref="E16:E18" si="7">AVERAGE(L16,S16,Z16,AG16,AN16)</f>
        <v>0.14800000000000002</v>
      </c>
      <c r="F16" s="1"/>
      <c r="G16" s="1"/>
      <c r="I16">
        <v>0.59</v>
      </c>
      <c r="J16">
        <v>0.06</v>
      </c>
      <c r="K16">
        <v>0.24</v>
      </c>
      <c r="L16">
        <v>0.12</v>
      </c>
      <c r="M16">
        <v>0</v>
      </c>
      <c r="N16">
        <v>0</v>
      </c>
      <c r="P16">
        <v>0.72</v>
      </c>
      <c r="Q16">
        <v>0</v>
      </c>
      <c r="R16">
        <v>0.22</v>
      </c>
      <c r="S16">
        <v>0.06</v>
      </c>
      <c r="T16">
        <v>0</v>
      </c>
      <c r="U16">
        <v>0</v>
      </c>
      <c r="W16">
        <v>0.78</v>
      </c>
      <c r="X16">
        <v>0</v>
      </c>
      <c r="Y16">
        <v>0</v>
      </c>
      <c r="Z16">
        <v>0.22</v>
      </c>
      <c r="AA16">
        <v>0</v>
      </c>
      <c r="AB16">
        <v>0</v>
      </c>
      <c r="AD16">
        <v>0.61</v>
      </c>
      <c r="AE16">
        <v>0</v>
      </c>
      <c r="AF16">
        <v>0.22</v>
      </c>
      <c r="AG16">
        <v>0.17</v>
      </c>
      <c r="AH16">
        <v>0</v>
      </c>
      <c r="AI16">
        <v>0</v>
      </c>
      <c r="AK16">
        <v>0.61</v>
      </c>
      <c r="AL16">
        <v>0</v>
      </c>
      <c r="AM16">
        <v>0.22</v>
      </c>
      <c r="AN16">
        <v>0.17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19" si="8">AVERAGE(I17,P17,W17,AD17,AK17)</f>
        <v>2.8000000000000004E-2</v>
      </c>
      <c r="C17" s="11">
        <f>AVERAGE(J17,Q17,X17,AE17,AL17)</f>
        <v>0.61799999999999999</v>
      </c>
      <c r="D17" s="1">
        <f t="shared" si="6"/>
        <v>0.10600000000000001</v>
      </c>
      <c r="E17" s="1">
        <f t="shared" si="7"/>
        <v>0.252</v>
      </c>
      <c r="F17" s="1"/>
      <c r="G17" s="1"/>
      <c r="I17">
        <v>0</v>
      </c>
      <c r="J17">
        <v>0.6</v>
      </c>
      <c r="K17">
        <v>0</v>
      </c>
      <c r="L17">
        <v>0.4</v>
      </c>
      <c r="M17">
        <v>0</v>
      </c>
      <c r="N17">
        <v>0</v>
      </c>
      <c r="P17">
        <v>0</v>
      </c>
      <c r="Q17">
        <v>0.75</v>
      </c>
      <c r="R17">
        <v>0.13</v>
      </c>
      <c r="S17">
        <v>0.13</v>
      </c>
      <c r="T17">
        <v>0</v>
      </c>
      <c r="U17">
        <v>0</v>
      </c>
      <c r="W17">
        <v>0</v>
      </c>
      <c r="X17">
        <v>0.67</v>
      </c>
      <c r="Y17">
        <v>0.13</v>
      </c>
      <c r="Z17">
        <v>0.2</v>
      </c>
      <c r="AA17">
        <v>0</v>
      </c>
      <c r="AB17">
        <v>0</v>
      </c>
      <c r="AD17">
        <v>7.0000000000000007E-2</v>
      </c>
      <c r="AE17">
        <v>0.6</v>
      </c>
      <c r="AF17">
        <v>0.2</v>
      </c>
      <c r="AG17">
        <v>0.13</v>
      </c>
      <c r="AH17">
        <v>0</v>
      </c>
      <c r="AI17">
        <v>0</v>
      </c>
      <c r="AK17">
        <v>7.0000000000000007E-2</v>
      </c>
      <c r="AL17">
        <v>0.47</v>
      </c>
      <c r="AM17">
        <v>7.0000000000000007E-2</v>
      </c>
      <c r="AN17">
        <v>0.4</v>
      </c>
      <c r="AO17">
        <v>0</v>
      </c>
      <c r="AP17">
        <v>0</v>
      </c>
    </row>
    <row r="18" spans="1:42" x14ac:dyDescent="0.25">
      <c r="A18" t="s">
        <v>30</v>
      </c>
      <c r="B18" s="1">
        <f t="shared" si="8"/>
        <v>0.19800000000000001</v>
      </c>
      <c r="C18" s="1">
        <f t="shared" si="5"/>
        <v>0.19400000000000001</v>
      </c>
      <c r="D18" s="11">
        <f>AVERAGE(K18,R18,Y18,AF18,AM18)</f>
        <v>0.34400000000000003</v>
      </c>
      <c r="E18" s="1">
        <f t="shared" si="7"/>
        <v>0.26200000000000001</v>
      </c>
      <c r="F18" s="1"/>
      <c r="G18" s="1"/>
      <c r="I18">
        <v>0.18</v>
      </c>
      <c r="J18">
        <v>0.2</v>
      </c>
      <c r="K18">
        <v>0.33</v>
      </c>
      <c r="L18">
        <v>0.28999999999999998</v>
      </c>
      <c r="M18">
        <v>0</v>
      </c>
      <c r="N18">
        <v>0</v>
      </c>
      <c r="P18">
        <v>0.26</v>
      </c>
      <c r="Q18">
        <v>0.13</v>
      </c>
      <c r="R18">
        <v>0.37</v>
      </c>
      <c r="S18">
        <v>0.24</v>
      </c>
      <c r="T18">
        <v>0</v>
      </c>
      <c r="U18">
        <v>0</v>
      </c>
      <c r="W18">
        <v>0.23</v>
      </c>
      <c r="X18">
        <v>0.2</v>
      </c>
      <c r="Y18">
        <v>0.33</v>
      </c>
      <c r="Z18">
        <v>0.24</v>
      </c>
      <c r="AA18">
        <v>0</v>
      </c>
      <c r="AB18">
        <v>0</v>
      </c>
      <c r="AD18">
        <v>0.13</v>
      </c>
      <c r="AE18">
        <v>0.21</v>
      </c>
      <c r="AF18">
        <v>0.33</v>
      </c>
      <c r="AG18">
        <v>0.32</v>
      </c>
      <c r="AH18">
        <v>0</v>
      </c>
      <c r="AI18">
        <v>0</v>
      </c>
      <c r="AK18">
        <v>0.19</v>
      </c>
      <c r="AL18">
        <v>0.23</v>
      </c>
      <c r="AM18">
        <v>0.36</v>
      </c>
      <c r="AN18">
        <v>0.22</v>
      </c>
      <c r="AO18">
        <v>0</v>
      </c>
      <c r="AP18">
        <v>0</v>
      </c>
    </row>
    <row r="19" spans="1:42" x14ac:dyDescent="0.25">
      <c r="A19" t="s">
        <v>29</v>
      </c>
      <c r="B19" s="1">
        <f t="shared" si="8"/>
        <v>9.8000000000000004E-2</v>
      </c>
      <c r="C19" s="1">
        <f t="shared" si="5"/>
        <v>0.10800000000000001</v>
      </c>
      <c r="D19" s="1">
        <f t="shared" si="6"/>
        <v>0.14399999999999999</v>
      </c>
      <c r="E19" s="11">
        <f>AVERAGE(L19,S19,Z19,AG19,AN19)</f>
        <v>0.64800000000000002</v>
      </c>
      <c r="F19" s="1"/>
      <c r="G19" s="1"/>
      <c r="I19">
        <v>0.08</v>
      </c>
      <c r="J19">
        <v>0.11</v>
      </c>
      <c r="K19">
        <v>0.11</v>
      </c>
      <c r="L19">
        <v>0.7</v>
      </c>
      <c r="M19">
        <v>0</v>
      </c>
      <c r="N19">
        <v>0</v>
      </c>
      <c r="P19">
        <v>0.09</v>
      </c>
      <c r="Q19">
        <v>7.0000000000000007E-2</v>
      </c>
      <c r="R19">
        <v>0.19</v>
      </c>
      <c r="S19">
        <v>0.65</v>
      </c>
      <c r="T19">
        <v>0</v>
      </c>
      <c r="U19">
        <v>0</v>
      </c>
      <c r="W19">
        <v>0.09</v>
      </c>
      <c r="X19">
        <v>0.14000000000000001</v>
      </c>
      <c r="Y19">
        <v>0.15</v>
      </c>
      <c r="Z19">
        <v>0.62</v>
      </c>
      <c r="AA19">
        <v>0</v>
      </c>
      <c r="AB19">
        <v>0</v>
      </c>
      <c r="AD19">
        <v>0.12</v>
      </c>
      <c r="AE19">
        <v>0.15</v>
      </c>
      <c r="AF19">
        <v>0.04</v>
      </c>
      <c r="AG19">
        <v>0.68</v>
      </c>
      <c r="AH19">
        <v>0</v>
      </c>
      <c r="AI19">
        <v>0</v>
      </c>
      <c r="AK19">
        <v>0.11</v>
      </c>
      <c r="AL19">
        <v>7.0000000000000007E-2</v>
      </c>
      <c r="AM19">
        <v>0.23</v>
      </c>
      <c r="AN19">
        <v>0.59</v>
      </c>
      <c r="AO19">
        <v>0</v>
      </c>
      <c r="AP19">
        <v>0</v>
      </c>
    </row>
    <row r="20" spans="1:42" x14ac:dyDescent="0.25">
      <c r="B20" s="1"/>
      <c r="C20" s="1"/>
      <c r="D20" s="1"/>
      <c r="E20" s="1"/>
      <c r="F20" s="11"/>
      <c r="G20" s="1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 x14ac:dyDescent="0.25">
      <c r="B21" s="1"/>
      <c r="C21" s="1"/>
      <c r="D21" s="1"/>
      <c r="E21" s="1"/>
      <c r="F21" s="1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0.56799999999999995</v>
      </c>
      <c r="C23" s="1"/>
      <c r="D23" s="1"/>
      <c r="E23" s="1"/>
      <c r="F23" s="1"/>
      <c r="G23" s="1"/>
      <c r="I23">
        <v>0.55000000000000004</v>
      </c>
      <c r="J23">
        <v>231</v>
      </c>
      <c r="P23">
        <v>0.62</v>
      </c>
      <c r="Q23">
        <v>235</v>
      </c>
      <c r="W23">
        <v>0.6</v>
      </c>
      <c r="X23">
        <v>234</v>
      </c>
      <c r="AD23">
        <v>0.56000000000000005</v>
      </c>
      <c r="AE23">
        <v>233</v>
      </c>
      <c r="AK23">
        <v>0.51</v>
      </c>
      <c r="AL23">
        <v>233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54EBF-081D-489F-B9F2-EC7D80E811E5}">
  <sheetPr codeName="Arkusz8"/>
  <dimension ref="A4:AP50"/>
  <sheetViews>
    <sheetView zoomScaleNormal="100" workbookViewId="0">
      <selection activeCell="F23" sqref="F2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5">
        <f>AVERAGE(I5,P5,W5,AD5,AK5)</f>
        <v>0.99199999999999999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0" si="1">AVERAGE(I6,P6,W6,AD6,AK6)</f>
        <v>0</v>
      </c>
      <c r="C6" s="5">
        <f>AVERAGE(J6,Q6,X6,AE6,AL6)</f>
        <v>0.99</v>
      </c>
      <c r="D6" s="1">
        <f t="shared" ref="D6:D10" si="2">AVERAGE(K6,R6,Y6,AF6,AM6)</f>
        <v>4.0000000000000001E-3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9" si="5"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1.6E-2</v>
      </c>
      <c r="D7" s="5">
        <f>AVERAGE(K7,R7,Y7,AF7,AM7)</f>
        <v>0.96400000000000008</v>
      </c>
      <c r="E7" s="1">
        <f t="shared" si="3"/>
        <v>0.01</v>
      </c>
      <c r="F7" s="1">
        <f t="shared" si="4"/>
        <v>4.0000000000000001E-3</v>
      </c>
      <c r="G7" s="1">
        <f t="shared" si="5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1"/>
        <v>8.199999999999999E-2</v>
      </c>
      <c r="C8" s="1">
        <f t="shared" si="6"/>
        <v>7.400000000000001E-2</v>
      </c>
      <c r="D8" s="1">
        <f t="shared" si="2"/>
        <v>5.3999999999999992E-2</v>
      </c>
      <c r="E8" s="5">
        <f>AVERAGE(L8,S8,Z8,AG8,AN8)</f>
        <v>0.70399999999999996</v>
      </c>
      <c r="F8" s="1">
        <f t="shared" si="4"/>
        <v>0.02</v>
      </c>
      <c r="G8" s="1">
        <f t="shared" si="5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1"/>
        <v>0.10600000000000001</v>
      </c>
      <c r="C9" s="1">
        <f t="shared" si="6"/>
        <v>0.15400000000000003</v>
      </c>
      <c r="D9" s="1">
        <f t="shared" si="2"/>
        <v>0.10200000000000001</v>
      </c>
      <c r="E9" s="1">
        <f t="shared" si="3"/>
        <v>0.124</v>
      </c>
      <c r="F9" s="5">
        <f>AVERAGE(M9,T9,AA9,AH9,AO9)</f>
        <v>0.35</v>
      </c>
      <c r="G9" s="1">
        <f t="shared" si="5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1"/>
        <v>3.4000000000000002E-2</v>
      </c>
      <c r="C10" s="1">
        <f t="shared" si="6"/>
        <v>2E-3</v>
      </c>
      <c r="D10" s="1">
        <f t="shared" si="2"/>
        <v>2E-3</v>
      </c>
      <c r="E10" s="1">
        <f t="shared" si="3"/>
        <v>4.0000000000000001E-3</v>
      </c>
      <c r="F10" s="1">
        <f t="shared" si="4"/>
        <v>8.0000000000000002E-3</v>
      </c>
      <c r="G10" s="5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5">
        <f>AVERAGE(I16,P16,W16,AD16,AK16)</f>
        <v>0.53800000000000003</v>
      </c>
      <c r="C16" s="1">
        <f t="shared" ref="C16:C21" si="7">AVERAGE(J16,Q16,X16,AE16,AL16)</f>
        <v>1.2E-2</v>
      </c>
      <c r="D16" s="1">
        <f t="shared" ref="D16:D21" si="8">AVERAGE(K16,R16,Y16,AF16,AM16)</f>
        <v>4.8000000000000001E-2</v>
      </c>
      <c r="E16" s="1">
        <f t="shared" ref="E16:E21" si="9">AVERAGE(L16,S16,Z16,AG16,AN16)</f>
        <v>0.13400000000000001</v>
      </c>
      <c r="F16" s="1">
        <f t="shared" ref="F16:F21" si="10">AVERAGE(M16,T16,AA16,AH16,AO16)</f>
        <v>4.5999999999999999E-2</v>
      </c>
      <c r="G16" s="1">
        <f t="shared" ref="G16:G20" si="11"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5">
        <f>AVERAGE(J17,Q17,X17,AE17,AL17)</f>
        <v>0.53600000000000003</v>
      </c>
      <c r="D17" s="1">
        <f t="shared" si="8"/>
        <v>0.14399999999999999</v>
      </c>
      <c r="E17" s="1">
        <f t="shared" si="9"/>
        <v>0.21200000000000002</v>
      </c>
      <c r="F17" s="1">
        <f t="shared" si="10"/>
        <v>0.04</v>
      </c>
      <c r="G17" s="1">
        <f t="shared" si="1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7.5999999999999998E-2</v>
      </c>
      <c r="C18" s="1">
        <f t="shared" si="7"/>
        <v>0.36199999999999999</v>
      </c>
      <c r="D18" s="5">
        <f>AVERAGE(K18,R18,Y18,AF18,AM18)</f>
        <v>0.308</v>
      </c>
      <c r="E18" s="1">
        <f t="shared" si="9"/>
        <v>0.128</v>
      </c>
      <c r="F18" s="1">
        <f t="shared" si="10"/>
        <v>8.3999999999999991E-2</v>
      </c>
      <c r="G18" s="1">
        <f t="shared" si="1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2"/>
        <v>0.10999999999999999</v>
      </c>
      <c r="C19" s="1">
        <f t="shared" si="7"/>
        <v>0.13600000000000001</v>
      </c>
      <c r="D19" s="1">
        <f t="shared" si="8"/>
        <v>0.10600000000000001</v>
      </c>
      <c r="E19" s="5">
        <f>AVERAGE(L19,S19,Z19,AG19,AN19)</f>
        <v>0.48399999999999999</v>
      </c>
      <c r="F19" s="1">
        <f t="shared" si="10"/>
        <v>5.5999999999999994E-2</v>
      </c>
      <c r="G19" s="1">
        <f t="shared" si="1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0.182</v>
      </c>
      <c r="D20" s="1">
        <f t="shared" si="8"/>
        <v>0.156</v>
      </c>
      <c r="E20" s="1">
        <f t="shared" si="9"/>
        <v>0.17599999999999999</v>
      </c>
      <c r="F20" s="5">
        <f>AVERAGE(M20,T20,AA20,AH20,AO20)</f>
        <v>0.10799999999999998</v>
      </c>
      <c r="G20" s="1">
        <f t="shared" si="1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2"/>
        <v>0.3</v>
      </c>
      <c r="C21" s="1">
        <f t="shared" si="7"/>
        <v>4.5999999999999999E-2</v>
      </c>
      <c r="D21" s="1">
        <f t="shared" si="8"/>
        <v>7.5999999999999998E-2</v>
      </c>
      <c r="E21" s="1">
        <f t="shared" si="9"/>
        <v>5.6000000000000008E-2</v>
      </c>
      <c r="F21" s="1">
        <f t="shared" si="10"/>
        <v>0.11799999999999999</v>
      </c>
      <c r="G21" s="5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5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8" spans="1:42" x14ac:dyDescent="0.25">
      <c r="X28" t="s">
        <v>23</v>
      </c>
      <c r="Y28" t="s">
        <v>24</v>
      </c>
      <c r="Z28" t="s">
        <v>25</v>
      </c>
      <c r="AA28" t="s">
        <v>26</v>
      </c>
    </row>
    <row r="29" spans="1:42" x14ac:dyDescent="0.25">
      <c r="W29" t="s">
        <v>0</v>
      </c>
      <c r="X29">
        <v>89</v>
      </c>
      <c r="Y29">
        <v>71</v>
      </c>
      <c r="Z29">
        <v>18</v>
      </c>
      <c r="AA29" s="9">
        <f>Z29/(Y29+Z29)</f>
        <v>0.20224719101123595</v>
      </c>
    </row>
    <row r="30" spans="1:42" x14ac:dyDescent="0.25">
      <c r="W30" t="s">
        <v>2</v>
      </c>
      <c r="X30">
        <v>76</v>
      </c>
      <c r="Y30">
        <v>61</v>
      </c>
      <c r="Z30">
        <v>15</v>
      </c>
      <c r="AA30" s="9">
        <f t="shared" ref="AA30:AA33" si="13">Z30/(Y30+Z30)</f>
        <v>0.19736842105263158</v>
      </c>
    </row>
    <row r="31" spans="1:42" x14ac:dyDescent="0.25">
      <c r="G31" t="s">
        <v>0</v>
      </c>
      <c r="H31" t="s">
        <v>2</v>
      </c>
      <c r="I31" t="s">
        <v>1</v>
      </c>
      <c r="J31" t="s">
        <v>3</v>
      </c>
      <c r="K31" t="s">
        <v>4</v>
      </c>
      <c r="L31" t="s">
        <v>5</v>
      </c>
      <c r="M31" t="s">
        <v>0</v>
      </c>
      <c r="N31" t="s">
        <v>2</v>
      </c>
      <c r="O31" t="s">
        <v>1</v>
      </c>
      <c r="P31" t="s">
        <v>3</v>
      </c>
      <c r="Q31" t="s">
        <v>4</v>
      </c>
      <c r="R31" t="s">
        <v>5</v>
      </c>
      <c r="W31" t="s">
        <v>1</v>
      </c>
      <c r="X31">
        <v>94</v>
      </c>
      <c r="Y31">
        <v>75</v>
      </c>
      <c r="Z31">
        <v>19</v>
      </c>
      <c r="AA31" s="9">
        <f t="shared" si="13"/>
        <v>0.20212765957446807</v>
      </c>
    </row>
    <row r="32" spans="1:42" x14ac:dyDescent="0.25">
      <c r="F32" t="s">
        <v>0</v>
      </c>
      <c r="G32" s="5">
        <v>0.99199999999999999</v>
      </c>
      <c r="H32" s="1">
        <v>0</v>
      </c>
      <c r="I32" s="1">
        <v>4.0000000000000001E-3</v>
      </c>
      <c r="J32" s="1">
        <v>0</v>
      </c>
      <c r="K32" s="1">
        <v>2E-3</v>
      </c>
      <c r="L32" s="1">
        <v>2E-3</v>
      </c>
      <c r="M32" s="5">
        <v>0.97857142857142854</v>
      </c>
      <c r="N32" s="1">
        <v>0</v>
      </c>
      <c r="O32" s="1">
        <v>7.1428571428571435E-3</v>
      </c>
      <c r="P32" s="1">
        <v>0</v>
      </c>
      <c r="Q32" s="1">
        <v>0</v>
      </c>
      <c r="R32" s="1">
        <v>1.2857142857142857E-2</v>
      </c>
      <c r="W32" t="s">
        <v>3</v>
      </c>
      <c r="X32">
        <v>427</v>
      </c>
      <c r="Y32">
        <v>342</v>
      </c>
      <c r="Z32">
        <v>85</v>
      </c>
      <c r="AA32" s="9">
        <f t="shared" si="13"/>
        <v>0.19906323185011709</v>
      </c>
    </row>
    <row r="33" spans="6:27" x14ac:dyDescent="0.25">
      <c r="F33" t="s">
        <v>2</v>
      </c>
      <c r="G33" s="1">
        <v>0</v>
      </c>
      <c r="H33" s="5">
        <v>0.99</v>
      </c>
      <c r="I33" s="1">
        <v>4.0000000000000001E-3</v>
      </c>
      <c r="J33" s="1">
        <v>4.0000000000000001E-3</v>
      </c>
      <c r="K33" s="1">
        <v>0</v>
      </c>
      <c r="L33" s="1">
        <v>4.0000000000000001E-3</v>
      </c>
      <c r="M33" s="1">
        <v>2.8571428571428571E-3</v>
      </c>
      <c r="N33" s="5">
        <v>0.98142857142857154</v>
      </c>
      <c r="O33" s="1">
        <v>0</v>
      </c>
      <c r="P33" s="1">
        <v>8.5714285714285719E-3</v>
      </c>
      <c r="Q33" s="1">
        <v>5.7142857142857143E-3</v>
      </c>
      <c r="R33" s="1">
        <v>2.8571428571428571E-3</v>
      </c>
      <c r="W33" t="s">
        <v>4</v>
      </c>
      <c r="X33">
        <v>370</v>
      </c>
      <c r="Y33">
        <v>296</v>
      </c>
      <c r="Z33">
        <v>74</v>
      </c>
      <c r="AA33" s="9">
        <f t="shared" si="13"/>
        <v>0.2</v>
      </c>
    </row>
    <row r="34" spans="6:27" x14ac:dyDescent="0.25">
      <c r="F34" t="s">
        <v>1</v>
      </c>
      <c r="G34" s="1">
        <v>2E-3</v>
      </c>
      <c r="H34" s="1">
        <v>1.6E-2</v>
      </c>
      <c r="I34" s="5">
        <v>0.96400000000000008</v>
      </c>
      <c r="J34" s="1">
        <v>0.01</v>
      </c>
      <c r="K34" s="1">
        <v>4.0000000000000001E-3</v>
      </c>
      <c r="L34" s="1">
        <v>0</v>
      </c>
      <c r="M34" s="1">
        <v>1.4285714285714286E-3</v>
      </c>
      <c r="N34" s="1">
        <v>2.4285714285714289E-2</v>
      </c>
      <c r="O34" s="5">
        <v>0.95999999999999985</v>
      </c>
      <c r="P34" s="1">
        <v>1.4285714285714285E-2</v>
      </c>
      <c r="Q34" s="1">
        <v>1.4285714285714286E-3</v>
      </c>
      <c r="R34" s="1">
        <v>0</v>
      </c>
      <c r="W34" t="s">
        <v>5</v>
      </c>
      <c r="X34">
        <v>110</v>
      </c>
      <c r="Y34">
        <v>88</v>
      </c>
      <c r="Z34">
        <v>22</v>
      </c>
      <c r="AA34" s="9">
        <f>Z34/(Y34+Z34)</f>
        <v>0.2</v>
      </c>
    </row>
    <row r="35" spans="6:27" x14ac:dyDescent="0.25">
      <c r="F35" t="s">
        <v>3</v>
      </c>
      <c r="G35" s="1">
        <v>8.199999999999999E-2</v>
      </c>
      <c r="H35" s="1">
        <v>7.400000000000001E-2</v>
      </c>
      <c r="I35" s="1">
        <v>5.3999999999999992E-2</v>
      </c>
      <c r="J35" s="5">
        <v>0.70399999999999996</v>
      </c>
      <c r="K35" s="1">
        <v>0.02</v>
      </c>
      <c r="L35" s="1">
        <v>6.4000000000000001E-2</v>
      </c>
      <c r="M35" s="1">
        <v>7.0000000000000007E-2</v>
      </c>
      <c r="N35" s="1">
        <v>7.571428571428572E-2</v>
      </c>
      <c r="O35" s="1">
        <v>6.5714285714285711E-2</v>
      </c>
      <c r="P35" s="5">
        <v>0.68857142857142861</v>
      </c>
      <c r="Q35" s="1">
        <v>3.7142857142857144E-2</v>
      </c>
      <c r="R35" s="1">
        <v>6.7142857142857143E-2</v>
      </c>
      <c r="W35" t="s">
        <v>22</v>
      </c>
      <c r="X35">
        <v>1166</v>
      </c>
      <c r="Y35">
        <f>SUM(Y29:Y34)</f>
        <v>933</v>
      </c>
      <c r="Z35">
        <f>SUM(Z29:Z34)</f>
        <v>233</v>
      </c>
      <c r="AA35" s="9">
        <f>Z35/(Y35+Z35)</f>
        <v>0.19982847341337909</v>
      </c>
    </row>
    <row r="36" spans="6:27" x14ac:dyDescent="0.25">
      <c r="F36" t="s">
        <v>4</v>
      </c>
      <c r="G36" s="1">
        <v>0.10600000000000001</v>
      </c>
      <c r="H36" s="1">
        <v>0.15400000000000003</v>
      </c>
      <c r="I36" s="1">
        <v>0.10200000000000001</v>
      </c>
      <c r="J36" s="1">
        <v>0.124</v>
      </c>
      <c r="K36" s="5">
        <v>0.35</v>
      </c>
      <c r="L36" s="1">
        <v>0.16600000000000004</v>
      </c>
      <c r="M36" s="1">
        <v>0.11285714285714285</v>
      </c>
      <c r="N36" s="1">
        <v>0.16285714285714287</v>
      </c>
      <c r="O36" s="1">
        <v>0.11142857142857143</v>
      </c>
      <c r="P36" s="1">
        <v>0.12571428571428572</v>
      </c>
      <c r="Q36" s="5">
        <v>0.30285714285714288</v>
      </c>
      <c r="R36" s="1">
        <v>0.18285714285714286</v>
      </c>
    </row>
    <row r="37" spans="6:27" x14ac:dyDescent="0.25">
      <c r="F37" t="s">
        <v>5</v>
      </c>
      <c r="G37" s="1">
        <v>3.4000000000000002E-2</v>
      </c>
      <c r="H37" s="1">
        <v>2E-3</v>
      </c>
      <c r="I37" s="1">
        <v>2E-3</v>
      </c>
      <c r="J37" s="1">
        <v>4.0000000000000001E-3</v>
      </c>
      <c r="K37" s="1">
        <v>8.0000000000000002E-3</v>
      </c>
      <c r="L37" s="5">
        <v>0.95</v>
      </c>
      <c r="M37" s="1">
        <v>2.8571428571428574E-2</v>
      </c>
      <c r="N37" s="1">
        <v>1.4285714285714286E-3</v>
      </c>
      <c r="O37" s="1">
        <v>8.5714285714285719E-3</v>
      </c>
      <c r="P37" s="1">
        <v>8.5714285714285719E-3</v>
      </c>
      <c r="Q37" s="1">
        <v>7.1428571428571435E-3</v>
      </c>
      <c r="R37" s="5">
        <v>0.94285714285714284</v>
      </c>
    </row>
    <row r="38" spans="6:27" x14ac:dyDescent="0.25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6:27" x14ac:dyDescent="0.25">
      <c r="G39" s="5">
        <v>0.82400000000000007</v>
      </c>
      <c r="H39" s="1"/>
      <c r="I39" s="1"/>
      <c r="J39" s="1"/>
      <c r="K39" s="1"/>
      <c r="L39" s="1"/>
      <c r="M39" s="5">
        <v>0.80857142857142861</v>
      </c>
      <c r="N39" s="1"/>
      <c r="O39" s="1"/>
      <c r="P39" s="1"/>
      <c r="Q39" s="1"/>
      <c r="R39" s="1"/>
    </row>
    <row r="40" spans="6:27" x14ac:dyDescent="0.25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6:27" x14ac:dyDescent="0.25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6:27" x14ac:dyDescent="0.25">
      <c r="G42" t="s">
        <v>0</v>
      </c>
      <c r="H42" t="s">
        <v>2</v>
      </c>
      <c r="I42" t="s">
        <v>1</v>
      </c>
      <c r="J42" t="s">
        <v>3</v>
      </c>
      <c r="K42" t="s">
        <v>4</v>
      </c>
      <c r="L42" t="s">
        <v>5</v>
      </c>
      <c r="M42" t="s">
        <v>0</v>
      </c>
      <c r="N42" t="s">
        <v>2</v>
      </c>
      <c r="O42" t="s">
        <v>1</v>
      </c>
      <c r="P42" t="s">
        <v>3</v>
      </c>
      <c r="Q42" t="s">
        <v>4</v>
      </c>
      <c r="R42" t="s">
        <v>5</v>
      </c>
    </row>
    <row r="43" spans="6:27" x14ac:dyDescent="0.25">
      <c r="F43" t="s">
        <v>0</v>
      </c>
      <c r="G43" s="5">
        <v>0.53800000000000003</v>
      </c>
      <c r="H43" s="1">
        <v>1.2E-2</v>
      </c>
      <c r="I43" s="1">
        <v>4.8000000000000001E-2</v>
      </c>
      <c r="J43" s="1">
        <v>0.13400000000000001</v>
      </c>
      <c r="K43" s="1">
        <v>4.5999999999999999E-2</v>
      </c>
      <c r="L43" s="1">
        <v>0.22600000000000003</v>
      </c>
      <c r="M43" s="5">
        <v>0.55142857142857138</v>
      </c>
      <c r="N43" s="1">
        <v>1.1428571428571429E-2</v>
      </c>
      <c r="O43" s="1">
        <v>4.4285714285714282E-2</v>
      </c>
      <c r="P43" s="1">
        <v>0.10142857142857142</v>
      </c>
      <c r="Q43" s="1">
        <v>6.4285714285714279E-2</v>
      </c>
      <c r="R43" s="1">
        <v>0.22428571428571428</v>
      </c>
    </row>
    <row r="44" spans="6:27" x14ac:dyDescent="0.25">
      <c r="F44" t="s">
        <v>2</v>
      </c>
      <c r="G44" s="1">
        <v>2.8000000000000004E-2</v>
      </c>
      <c r="H44" s="5">
        <v>0.53600000000000003</v>
      </c>
      <c r="I44" s="1">
        <v>0.14399999999999999</v>
      </c>
      <c r="J44" s="1">
        <v>0.21200000000000002</v>
      </c>
      <c r="K44" s="1">
        <v>0.04</v>
      </c>
      <c r="L44" s="1">
        <v>0.04</v>
      </c>
      <c r="M44" s="1">
        <v>5.2857142857142859E-2</v>
      </c>
      <c r="N44" s="5">
        <v>0.49714285714285722</v>
      </c>
      <c r="O44" s="1">
        <v>0.22285714285714284</v>
      </c>
      <c r="P44" s="1">
        <v>9.2857142857142846E-2</v>
      </c>
      <c r="Q44" s="1">
        <v>0.10428571428571429</v>
      </c>
      <c r="R44" s="1">
        <v>2.7142857142857142E-2</v>
      </c>
    </row>
    <row r="45" spans="6:27" x14ac:dyDescent="0.25">
      <c r="F45" t="s">
        <v>1</v>
      </c>
      <c r="G45" s="1">
        <v>7.5999999999999998E-2</v>
      </c>
      <c r="H45" s="1">
        <v>0.36199999999999999</v>
      </c>
      <c r="I45" s="5">
        <v>0.308</v>
      </c>
      <c r="J45" s="1">
        <v>0.128</v>
      </c>
      <c r="K45" s="1">
        <v>8.3999999999999991E-2</v>
      </c>
      <c r="L45" s="1">
        <v>4.2000000000000003E-2</v>
      </c>
      <c r="M45" s="1">
        <v>5.4285714285714291E-2</v>
      </c>
      <c r="N45" s="1">
        <v>0.28714285714285709</v>
      </c>
      <c r="O45" s="5">
        <v>0.36428571428571432</v>
      </c>
      <c r="P45" s="1">
        <v>0.19999999999999998</v>
      </c>
      <c r="Q45" s="1">
        <v>6.1428571428571437E-2</v>
      </c>
      <c r="R45" s="1">
        <v>3.2857142857142863E-2</v>
      </c>
    </row>
    <row r="46" spans="6:27" x14ac:dyDescent="0.25">
      <c r="F46" t="s">
        <v>3</v>
      </c>
      <c r="G46" s="1">
        <v>0.10999999999999999</v>
      </c>
      <c r="H46" s="1">
        <v>0.13600000000000001</v>
      </c>
      <c r="I46" s="1">
        <v>0.10600000000000001</v>
      </c>
      <c r="J46" s="5">
        <v>0.48399999999999999</v>
      </c>
      <c r="K46" s="1">
        <v>5.5999999999999994E-2</v>
      </c>
      <c r="L46" s="1">
        <v>0.11200000000000002</v>
      </c>
      <c r="M46" s="1">
        <v>0.11857142857142855</v>
      </c>
      <c r="N46" s="1">
        <v>0.16285714285714287</v>
      </c>
      <c r="O46" s="1">
        <v>9.5714285714285738E-2</v>
      </c>
      <c r="P46" s="5">
        <v>0.46142857142857141</v>
      </c>
      <c r="Q46" s="1">
        <v>5.4285714285714284E-2</v>
      </c>
      <c r="R46" s="1">
        <v>0.10428571428571429</v>
      </c>
    </row>
    <row r="47" spans="6:27" x14ac:dyDescent="0.25">
      <c r="F47" t="s">
        <v>4</v>
      </c>
      <c r="G47" s="1">
        <v>0.16400000000000001</v>
      </c>
      <c r="H47" s="1">
        <v>0.182</v>
      </c>
      <c r="I47" s="1">
        <v>0.156</v>
      </c>
      <c r="J47" s="1">
        <v>0.17599999999999999</v>
      </c>
      <c r="K47" s="5">
        <v>0.10799999999999998</v>
      </c>
      <c r="L47" s="1">
        <v>0.21799999999999997</v>
      </c>
      <c r="M47" s="1">
        <v>0.1242857142857143</v>
      </c>
      <c r="N47" s="1">
        <v>0.16857142857142859</v>
      </c>
      <c r="O47" s="1">
        <v>0.16142857142857142</v>
      </c>
      <c r="P47" s="1">
        <v>0.18571428571428572</v>
      </c>
      <c r="Q47" s="5">
        <v>0.10714285714285714</v>
      </c>
      <c r="R47" s="1">
        <v>0.24857142857142853</v>
      </c>
    </row>
    <row r="48" spans="6:27" x14ac:dyDescent="0.25">
      <c r="F48" t="s">
        <v>5</v>
      </c>
      <c r="G48" s="1">
        <v>0.3</v>
      </c>
      <c r="H48" s="1">
        <v>4.5999999999999999E-2</v>
      </c>
      <c r="I48" s="1">
        <v>7.5999999999999998E-2</v>
      </c>
      <c r="J48" s="1">
        <v>5.6000000000000008E-2</v>
      </c>
      <c r="K48" s="1">
        <v>0.11799999999999999</v>
      </c>
      <c r="L48" s="5">
        <v>0.40800000000000003</v>
      </c>
      <c r="M48" s="1">
        <v>0.23714285714285716</v>
      </c>
      <c r="N48" s="1">
        <v>4.4285714285714282E-2</v>
      </c>
      <c r="O48" s="1">
        <v>7.571428571428572E-2</v>
      </c>
      <c r="P48" s="1">
        <v>8.1428571428571433E-2</v>
      </c>
      <c r="Q48" s="1">
        <v>8.1428571428571433E-2</v>
      </c>
      <c r="R48" s="5">
        <v>0.48142857142857143</v>
      </c>
    </row>
    <row r="49" spans="7:18" x14ac:dyDescent="0.25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7:18" x14ac:dyDescent="0.25">
      <c r="G50" s="5">
        <v>0.39800000000000002</v>
      </c>
      <c r="H50" s="1"/>
      <c r="I50" s="1"/>
      <c r="J50" s="1"/>
      <c r="K50" s="1"/>
      <c r="L50" s="1"/>
      <c r="M50" s="5">
        <v>0.40857142857142853</v>
      </c>
      <c r="N50" s="1"/>
      <c r="O50" s="1"/>
      <c r="P50" s="1"/>
      <c r="Q50" s="1"/>
      <c r="R50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71374-90D8-4B0B-828F-3FD522759B07}">
  <sheetPr codeName="Arkusz18"/>
  <dimension ref="A4:AP48"/>
  <sheetViews>
    <sheetView topLeftCell="A46" workbookViewId="0">
      <selection activeCell="A50" sqref="A50:BZ69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0.99199999999999999</v>
      </c>
      <c r="C5" s="1">
        <f>AVERAGE(J5,Q5,X5,AE5,AL5)</f>
        <v>0</v>
      </c>
      <c r="D5" s="1">
        <f>AVERAGE(K5,R5,Y5,AF5,AM5)</f>
        <v>4.0000000000000001E-3</v>
      </c>
      <c r="E5" s="1">
        <f>AVERAGE(L5,S5,Z5,AG5,AN5)</f>
        <v>0</v>
      </c>
      <c r="F5" s="1">
        <f>AVERAGE(M5,T5,AA5,AH5,AO5)</f>
        <v>2E-3</v>
      </c>
      <c r="G5" s="1">
        <f>AVERAGE(N5,U5,AB5,AI5,AP5)</f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>AVERAGE(I6,P6,W6,AD6,AK6)</f>
        <v>0</v>
      </c>
      <c r="C6" s="11">
        <f>AVERAGE(J6,Q6,X6,AE6,AL6)</f>
        <v>0.99</v>
      </c>
      <c r="D6" s="1">
        <f>AVERAGE(K6,R6,Y6,AF6,AM6)</f>
        <v>4.0000000000000001E-3</v>
      </c>
      <c r="E6" s="1">
        <f>AVERAGE(L6,S6,Z6,AG6,AN6)</f>
        <v>4.0000000000000001E-3</v>
      </c>
      <c r="F6" s="1">
        <f>AVERAGE(M6,T6,AA6,AH6,AO6)</f>
        <v>0</v>
      </c>
      <c r="G6" s="1">
        <f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>AVERAGE(I7,P7,W7,AD7,AK7)</f>
        <v>2E-3</v>
      </c>
      <c r="C7" s="1">
        <f>AVERAGE(J7,Q7,X7,AE7,AL7)</f>
        <v>1.6E-2</v>
      </c>
      <c r="D7" s="11">
        <f>AVERAGE(K7,R7,Y7,AF7,AM7)</f>
        <v>0.96400000000000008</v>
      </c>
      <c r="E7" s="1">
        <f>AVERAGE(L7,S7,Z7,AG7,AN7)</f>
        <v>0.01</v>
      </c>
      <c r="F7" s="1">
        <f>AVERAGE(M7,T7,AA7,AH7,AO7)</f>
        <v>4.0000000000000001E-3</v>
      </c>
      <c r="G7" s="1">
        <f>AVERAGE(N7,U7,AB7,AI7,AP7)</f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>AVERAGE(I8,P8,W8,AD8,AK8)</f>
        <v>8.199999999999999E-2</v>
      </c>
      <c r="C8" s="1">
        <f>AVERAGE(J8,Q8,X8,AE8,AL8)</f>
        <v>7.400000000000001E-2</v>
      </c>
      <c r="D8" s="1">
        <f>AVERAGE(K8,R8,Y8,AF8,AM8)</f>
        <v>5.3999999999999992E-2</v>
      </c>
      <c r="E8" s="11">
        <f>AVERAGE(L8,S8,Z8,AG8,AN8)</f>
        <v>0.70399999999999996</v>
      </c>
      <c r="F8" s="1">
        <f>AVERAGE(M8,T8,AA8,AH8,AO8)</f>
        <v>0.02</v>
      </c>
      <c r="G8" s="1">
        <f>AVERAGE(N8,U8,AB8,AI8,AP8)</f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>AVERAGE(I9,P9,W9,AD9,AK9)</f>
        <v>0.10600000000000001</v>
      </c>
      <c r="C9" s="1">
        <f>AVERAGE(J9,Q9,X9,AE9,AL9)</f>
        <v>0.15400000000000003</v>
      </c>
      <c r="D9" s="1">
        <f>AVERAGE(K9,R9,Y9,AF9,AM9)</f>
        <v>0.10200000000000001</v>
      </c>
      <c r="E9" s="1">
        <f>AVERAGE(L9,S9,Z9,AG9,AN9)</f>
        <v>0.124</v>
      </c>
      <c r="F9" s="11">
        <f>AVERAGE(M9,T9,AA9,AH9,AO9)</f>
        <v>0.35</v>
      </c>
      <c r="G9" s="1">
        <f>AVERAGE(N9,U9,AB9,AI9,AP9)</f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>AVERAGE(I10,P10,W10,AD10,AK10)</f>
        <v>3.4000000000000002E-2</v>
      </c>
      <c r="C10" s="1">
        <f>AVERAGE(J10,Q10,X10,AE10,AL10)</f>
        <v>2E-3</v>
      </c>
      <c r="D10" s="1">
        <f>AVERAGE(K10,R10,Y10,AF10,AM10)</f>
        <v>2E-3</v>
      </c>
      <c r="E10" s="1">
        <f>AVERAGE(L10,S10,Z10,AG10,AN10)</f>
        <v>4.0000000000000001E-3</v>
      </c>
      <c r="F10" s="1">
        <f>AVERAGE(M10,T10,AA10,AH10,AO10)</f>
        <v>8.0000000000000002E-3</v>
      </c>
      <c r="G10" s="11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0.53800000000000003</v>
      </c>
      <c r="C16" s="1">
        <f>AVERAGE(J16,Q16,X16,AE16,AL16)</f>
        <v>1.2E-2</v>
      </c>
      <c r="D16" s="1">
        <f>AVERAGE(K16,R16,Y16,AF16,AM16)</f>
        <v>4.8000000000000001E-2</v>
      </c>
      <c r="E16" s="1">
        <f>AVERAGE(L16,S16,Z16,AG16,AN16)</f>
        <v>0.13400000000000001</v>
      </c>
      <c r="F16" s="1">
        <f>AVERAGE(M16,T16,AA16,AH16,AO16)</f>
        <v>4.5999999999999999E-2</v>
      </c>
      <c r="G16" s="1">
        <f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>AVERAGE(I17,P17,W17,AD17,AK17)</f>
        <v>2.8000000000000004E-2</v>
      </c>
      <c r="C17" s="11">
        <f>AVERAGE(J17,Q17,X17,AE17,AL17)</f>
        <v>0.53600000000000003</v>
      </c>
      <c r="D17" s="1">
        <f>AVERAGE(K17,R17,Y17,AF17,AM17)</f>
        <v>0.14399999999999999</v>
      </c>
      <c r="E17" s="1">
        <f>AVERAGE(L17,S17,Z17,AG17,AN17)</f>
        <v>0.21200000000000002</v>
      </c>
      <c r="F17" s="1">
        <f>AVERAGE(M17,T17,AA17,AH17,AO17)</f>
        <v>0.04</v>
      </c>
      <c r="G17" s="1">
        <f>AVERAGE(N17,U17,AB17,AI17,AP17)</f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>AVERAGE(I18,P18,W18,AD18,AK18)</f>
        <v>7.5999999999999998E-2</v>
      </c>
      <c r="C18" s="1">
        <f>AVERAGE(J18,Q18,X18,AE18,AL18)</f>
        <v>0.36199999999999999</v>
      </c>
      <c r="D18" s="11">
        <f>AVERAGE(K18,R18,Y18,AF18,AM18)</f>
        <v>0.308</v>
      </c>
      <c r="E18" s="1">
        <f>AVERAGE(L18,S18,Z18,AG18,AN18)</f>
        <v>0.128</v>
      </c>
      <c r="F18" s="1">
        <f>AVERAGE(M18,T18,AA18,AH18,AO18)</f>
        <v>8.3999999999999991E-2</v>
      </c>
      <c r="G18" s="1">
        <f>AVERAGE(N18,U18,AB18,AI18,AP18)</f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>AVERAGE(I19,P19,W19,AD19,AK19)</f>
        <v>0.10999999999999999</v>
      </c>
      <c r="C19" s="1">
        <f>AVERAGE(J19,Q19,X19,AE19,AL19)</f>
        <v>0.13600000000000001</v>
      </c>
      <c r="D19" s="1">
        <f>AVERAGE(K19,R19,Y19,AF19,AM19)</f>
        <v>0.10600000000000001</v>
      </c>
      <c r="E19" s="11">
        <f>AVERAGE(L19,S19,Z19,AG19,AN19)</f>
        <v>0.48399999999999999</v>
      </c>
      <c r="F19" s="1">
        <f>AVERAGE(M19,T19,AA19,AH19,AO19)</f>
        <v>5.5999999999999994E-2</v>
      </c>
      <c r="G19" s="1">
        <f>AVERAGE(N19,U19,AB19,AI19,AP19)</f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>AVERAGE(I20,P20,W20,AD20,AK20)</f>
        <v>0.16400000000000001</v>
      </c>
      <c r="C20" s="1">
        <f>AVERAGE(J20,Q20,X20,AE20,AL20)</f>
        <v>0.182</v>
      </c>
      <c r="D20" s="1">
        <f>AVERAGE(K20,R20,Y20,AF20,AM20)</f>
        <v>0.156</v>
      </c>
      <c r="E20" s="1">
        <f>AVERAGE(L20,S20,Z20,AG20,AN20)</f>
        <v>0.17599999999999999</v>
      </c>
      <c r="F20" s="11">
        <f>AVERAGE(M20,T20,AA20,AH20,AO20)</f>
        <v>0.10799999999999998</v>
      </c>
      <c r="G20" s="1">
        <f>AVERAGE(N20,U20,AB20,AI20,AP20)</f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>AVERAGE(I21,P21,W21,AD21,AK21)</f>
        <v>0.3</v>
      </c>
      <c r="C21" s="1">
        <f>AVERAGE(J21,Q21,X21,AE21,AL21)</f>
        <v>4.5999999999999999E-2</v>
      </c>
      <c r="D21" s="1">
        <f>AVERAGE(K21,R21,Y21,AF21,AM21)</f>
        <v>7.5999999999999998E-2</v>
      </c>
      <c r="E21" s="1">
        <f>AVERAGE(L21,S21,Z21,AG21,AN21)</f>
        <v>5.6000000000000008E-2</v>
      </c>
      <c r="F21" s="1">
        <f>AVERAGE(M21,T21,AA21,AH21,AO21)</f>
        <v>0.11799999999999999</v>
      </c>
      <c r="G21" s="11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5" spans="1:42" x14ac:dyDescent="0.25">
      <c r="B25" t="s">
        <v>27</v>
      </c>
    </row>
    <row r="27" spans="1:42" x14ac:dyDescent="0.25">
      <c r="B27" t="s">
        <v>0</v>
      </c>
      <c r="C27" t="s">
        <v>2</v>
      </c>
      <c r="D27" t="s">
        <v>1</v>
      </c>
      <c r="E27" t="s">
        <v>3</v>
      </c>
      <c r="F27" t="s">
        <v>4</v>
      </c>
      <c r="G27" t="s">
        <v>5</v>
      </c>
    </row>
    <row r="28" spans="1:42" x14ac:dyDescent="0.25">
      <c r="A28" t="s">
        <v>0</v>
      </c>
      <c r="B28" s="11">
        <f>AVERAGE(I28,P28,W28,AD28,AK28)</f>
        <v>0.98199999999999987</v>
      </c>
      <c r="C28" s="1">
        <f>AVERAGE(J28,Q28,X28,AE28,AL28)</f>
        <v>0</v>
      </c>
      <c r="D28" s="1">
        <f>AVERAGE(K28,R28,Y28,AF28,AM28)</f>
        <v>0</v>
      </c>
      <c r="E28" s="1">
        <f>AVERAGE(L28,S28,Z28,AG28,AN28)</f>
        <v>0</v>
      </c>
      <c r="F28" s="1">
        <f>AVERAGE(M28,T28,AA28,AH28,AO28)</f>
        <v>0</v>
      </c>
      <c r="G28" s="1">
        <f>AVERAGE(N28,U28,AB28,AI28,AP28)</f>
        <v>1.7999999999999999E-2</v>
      </c>
      <c r="I28">
        <v>0.97</v>
      </c>
      <c r="J28">
        <v>0</v>
      </c>
      <c r="K28">
        <v>0</v>
      </c>
      <c r="L28">
        <v>0</v>
      </c>
      <c r="M28">
        <v>0</v>
      </c>
      <c r="N28">
        <v>0.03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D28">
        <v>0.97</v>
      </c>
      <c r="AE28">
        <v>0</v>
      </c>
      <c r="AF28">
        <v>0</v>
      </c>
      <c r="AG28">
        <v>0</v>
      </c>
      <c r="AH28">
        <v>0</v>
      </c>
      <c r="AI28">
        <v>0.03</v>
      </c>
      <c r="AK28">
        <v>0.97</v>
      </c>
      <c r="AL28">
        <v>0</v>
      </c>
      <c r="AM28">
        <v>0</v>
      </c>
      <c r="AN28">
        <v>0</v>
      </c>
      <c r="AO28">
        <v>0</v>
      </c>
      <c r="AP28">
        <v>0.03</v>
      </c>
    </row>
    <row r="29" spans="1:42" x14ac:dyDescent="0.25">
      <c r="A29" t="s">
        <v>2</v>
      </c>
      <c r="B29" s="1">
        <f>AVERAGE(I29,P29,W29,AD29,AK29)</f>
        <v>0</v>
      </c>
      <c r="C29" s="11">
        <f>AVERAGE(J29,Q29,X29,AE29,AL29)</f>
        <v>0.98399999999999999</v>
      </c>
      <c r="D29" s="1">
        <f>AVERAGE(K29,R29,Y29,AF29,AM29)</f>
        <v>0</v>
      </c>
      <c r="E29" s="1">
        <f>AVERAGE(L29,S29,Z29,AG29,AN29)</f>
        <v>1.2E-2</v>
      </c>
      <c r="F29" s="1">
        <f>AVERAGE(M29,T29,AA29,AH29,AO29)</f>
        <v>4.0000000000000001E-3</v>
      </c>
      <c r="G29" s="1">
        <f>AVERAGE(N29,U29,AB29,AI29,AP29)</f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P29">
        <v>0</v>
      </c>
      <c r="Q29">
        <v>0.98</v>
      </c>
      <c r="R29">
        <v>0</v>
      </c>
      <c r="S29">
        <v>0.02</v>
      </c>
      <c r="T29">
        <v>0</v>
      </c>
      <c r="U29">
        <v>0</v>
      </c>
      <c r="W29">
        <v>0</v>
      </c>
      <c r="X29">
        <v>0.98</v>
      </c>
      <c r="Y29">
        <v>0</v>
      </c>
      <c r="Z29">
        <v>0.02</v>
      </c>
      <c r="AA29">
        <v>0</v>
      </c>
      <c r="AB29">
        <v>0</v>
      </c>
      <c r="AD29">
        <v>0</v>
      </c>
      <c r="AE29">
        <v>0.98</v>
      </c>
      <c r="AF29">
        <v>0</v>
      </c>
      <c r="AG29">
        <v>0.02</v>
      </c>
      <c r="AH29">
        <v>0</v>
      </c>
      <c r="AI29">
        <v>0</v>
      </c>
      <c r="AK29">
        <v>0</v>
      </c>
      <c r="AL29">
        <v>0.98</v>
      </c>
      <c r="AM29">
        <v>0</v>
      </c>
      <c r="AN29">
        <v>0</v>
      </c>
      <c r="AO29">
        <v>0.02</v>
      </c>
      <c r="AP29">
        <v>0</v>
      </c>
    </row>
    <row r="30" spans="1:42" x14ac:dyDescent="0.25">
      <c r="A30" t="s">
        <v>1</v>
      </c>
      <c r="B30" s="1">
        <f>AVERAGE(I30,P30,W30,AD30,AK30)</f>
        <v>2E-3</v>
      </c>
      <c r="C30" s="1">
        <f>AVERAGE(J30,Q30,X30,AE30,AL30)</f>
        <v>6.0000000000000001E-3</v>
      </c>
      <c r="D30" s="11">
        <f>AVERAGE(K30,R30,Y30,AF30,AM30)</f>
        <v>0.97399999999999998</v>
      </c>
      <c r="E30" s="1">
        <f>AVERAGE(L30,S30,Z30,AG30,AN30)</f>
        <v>1.2E-2</v>
      </c>
      <c r="F30" s="1">
        <f>AVERAGE(M30,T30,AA30,AH30,AO30)</f>
        <v>2E-3</v>
      </c>
      <c r="G30" s="1">
        <f>AVERAGE(N30,U30,AB30,AI30,AP30)</f>
        <v>0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P30">
        <v>0.01</v>
      </c>
      <c r="Q30">
        <v>0.01</v>
      </c>
      <c r="R30">
        <v>0.91</v>
      </c>
      <c r="S30">
        <v>0.05</v>
      </c>
      <c r="T30">
        <v>0.01</v>
      </c>
      <c r="U30">
        <v>0</v>
      </c>
      <c r="W30">
        <v>0</v>
      </c>
      <c r="X30">
        <v>0.01</v>
      </c>
      <c r="Y30">
        <v>0.97</v>
      </c>
      <c r="Z30">
        <v>0.01</v>
      </c>
      <c r="AA30">
        <v>0</v>
      </c>
      <c r="AB30">
        <v>0</v>
      </c>
      <c r="AD30">
        <v>0</v>
      </c>
      <c r="AE30">
        <v>0.01</v>
      </c>
      <c r="AF30">
        <v>0.99</v>
      </c>
      <c r="AG30">
        <v>0</v>
      </c>
      <c r="AH30">
        <v>0</v>
      </c>
      <c r="AI30">
        <v>0</v>
      </c>
      <c r="AK30">
        <v>0</v>
      </c>
      <c r="AL30">
        <v>0</v>
      </c>
      <c r="AM30">
        <v>1</v>
      </c>
      <c r="AN30">
        <v>0</v>
      </c>
      <c r="AO30">
        <v>0</v>
      </c>
      <c r="AP30">
        <v>0</v>
      </c>
    </row>
    <row r="31" spans="1:42" x14ac:dyDescent="0.25">
      <c r="A31" t="s">
        <v>3</v>
      </c>
      <c r="B31" s="1">
        <f>AVERAGE(I31,P31,W31,AD31,AK31)</f>
        <v>7.8E-2</v>
      </c>
      <c r="C31" s="1">
        <f>AVERAGE(J31,Q31,X31,AE31,AL31)</f>
        <v>6.9999999999999993E-2</v>
      </c>
      <c r="D31" s="1">
        <f>AVERAGE(K31,R31,Y31,AF31,AM31)</f>
        <v>0.06</v>
      </c>
      <c r="E31" s="11">
        <f>AVERAGE(L31,S31,Z31,AG31,AN31)</f>
        <v>0.69799999999999995</v>
      </c>
      <c r="F31" s="1">
        <f>AVERAGE(M31,T31,AA31,AH31,AO31)</f>
        <v>3.7999999999999999E-2</v>
      </c>
      <c r="G31" s="1">
        <f>AVERAGE(N31,U31,AB31,AI31,AP31)</f>
        <v>0.06</v>
      </c>
      <c r="I31">
        <v>0.08</v>
      </c>
      <c r="J31">
        <v>0.09</v>
      </c>
      <c r="K31">
        <v>0.04</v>
      </c>
      <c r="L31">
        <v>0.7</v>
      </c>
      <c r="M31">
        <v>0.04</v>
      </c>
      <c r="N31">
        <v>0.05</v>
      </c>
      <c r="P31">
        <v>7.0000000000000007E-2</v>
      </c>
      <c r="Q31">
        <v>7.0000000000000007E-2</v>
      </c>
      <c r="R31">
        <v>0.06</v>
      </c>
      <c r="S31">
        <v>0.72</v>
      </c>
      <c r="T31">
        <v>0.03</v>
      </c>
      <c r="U31">
        <v>0.05</v>
      </c>
      <c r="W31">
        <v>0.1</v>
      </c>
      <c r="X31">
        <v>0.08</v>
      </c>
      <c r="Y31">
        <v>0.06</v>
      </c>
      <c r="Z31">
        <v>0.67</v>
      </c>
      <c r="AA31">
        <v>0.04</v>
      </c>
      <c r="AB31">
        <v>0.06</v>
      </c>
      <c r="AD31">
        <v>0.08</v>
      </c>
      <c r="AE31">
        <v>0.06</v>
      </c>
      <c r="AF31">
        <v>0.06</v>
      </c>
      <c r="AG31">
        <v>0.71</v>
      </c>
      <c r="AH31">
        <v>0.03</v>
      </c>
      <c r="AI31">
        <v>0.06</v>
      </c>
      <c r="AK31">
        <v>0.06</v>
      </c>
      <c r="AL31">
        <v>0.05</v>
      </c>
      <c r="AM31">
        <v>0.08</v>
      </c>
      <c r="AN31">
        <v>0.69</v>
      </c>
      <c r="AO31">
        <v>0.05</v>
      </c>
      <c r="AP31">
        <v>0.08</v>
      </c>
    </row>
    <row r="32" spans="1:42" x14ac:dyDescent="0.25">
      <c r="A32" t="s">
        <v>4</v>
      </c>
      <c r="B32" s="1">
        <f>AVERAGE(I32,P32,W32,AD32,AK32)</f>
        <v>0.10799999999999998</v>
      </c>
      <c r="C32" s="1">
        <f>AVERAGE(J32,Q32,X32,AE32,AL32)</f>
        <v>0.14800000000000002</v>
      </c>
      <c r="D32" s="1">
        <f>AVERAGE(K32,R32,Y32,AF32,AM32)</f>
        <v>0.1</v>
      </c>
      <c r="E32" s="1">
        <f>AVERAGE(L32,S32,Z32,AG32,AN32)</f>
        <v>0.11599999999999999</v>
      </c>
      <c r="F32" s="11">
        <f>AVERAGE(M32,T32,AA32,AH32,AO32)</f>
        <v>0.35199999999999998</v>
      </c>
      <c r="G32" s="1">
        <f>AVERAGE(N32,U32,AB32,AI32,AP32)</f>
        <v>0.17599999999999999</v>
      </c>
      <c r="I32">
        <v>0.12</v>
      </c>
      <c r="J32">
        <v>0.14000000000000001</v>
      </c>
      <c r="K32">
        <v>0.1</v>
      </c>
      <c r="L32">
        <v>0.12</v>
      </c>
      <c r="M32">
        <v>0.38</v>
      </c>
      <c r="N32">
        <v>0.13</v>
      </c>
      <c r="P32">
        <v>0.11</v>
      </c>
      <c r="Q32">
        <v>0.15</v>
      </c>
      <c r="R32">
        <v>7.0000000000000007E-2</v>
      </c>
      <c r="S32">
        <v>0.12</v>
      </c>
      <c r="T32">
        <v>0.36</v>
      </c>
      <c r="U32">
        <v>0.19</v>
      </c>
      <c r="W32">
        <v>0.09</v>
      </c>
      <c r="X32">
        <v>0.17</v>
      </c>
      <c r="Y32">
        <v>0.12</v>
      </c>
      <c r="Z32">
        <v>0.14000000000000001</v>
      </c>
      <c r="AA32">
        <v>0.28999999999999998</v>
      </c>
      <c r="AB32">
        <v>0.19</v>
      </c>
      <c r="AD32">
        <v>0.14000000000000001</v>
      </c>
      <c r="AE32">
        <v>0.14000000000000001</v>
      </c>
      <c r="AF32">
        <v>0.15</v>
      </c>
      <c r="AG32">
        <v>0.11</v>
      </c>
      <c r="AH32">
        <v>0.32</v>
      </c>
      <c r="AI32">
        <v>0.15</v>
      </c>
      <c r="AK32">
        <v>0.08</v>
      </c>
      <c r="AL32">
        <v>0.14000000000000001</v>
      </c>
      <c r="AM32">
        <v>0.06</v>
      </c>
      <c r="AN32">
        <v>0.09</v>
      </c>
      <c r="AO32">
        <v>0.41</v>
      </c>
      <c r="AP32">
        <v>0.22</v>
      </c>
    </row>
    <row r="33" spans="1:42" x14ac:dyDescent="0.25">
      <c r="A33" t="s">
        <v>5</v>
      </c>
      <c r="B33" s="1">
        <f>AVERAGE(I33,P33,W33,AD33,AK33)</f>
        <v>2.4E-2</v>
      </c>
      <c r="C33" s="1">
        <f>AVERAGE(J33,Q33,X33,AE33,AL33)</f>
        <v>0</v>
      </c>
      <c r="D33" s="1">
        <f>AVERAGE(K33,R33,Y33,AF33,AM33)</f>
        <v>6.0000000000000001E-3</v>
      </c>
      <c r="E33" s="1">
        <f>AVERAGE(L33,S33,Z33,AG33,AN33)</f>
        <v>8.0000000000000002E-3</v>
      </c>
      <c r="F33" s="1">
        <f>AVERAGE(M33,T33,AA33,AH33,AO33)</f>
        <v>6.0000000000000001E-3</v>
      </c>
      <c r="G33" s="11">
        <f>AVERAGE(N33,U33,AB33,AI33,AP33)</f>
        <v>0.95</v>
      </c>
      <c r="I33">
        <v>0.02</v>
      </c>
      <c r="J33">
        <v>0</v>
      </c>
      <c r="K33">
        <v>0</v>
      </c>
      <c r="L33">
        <v>0</v>
      </c>
      <c r="M33">
        <v>0.02</v>
      </c>
      <c r="N33">
        <v>0.95</v>
      </c>
      <c r="P33">
        <v>0.03</v>
      </c>
      <c r="Q33">
        <v>0</v>
      </c>
      <c r="R33">
        <v>0</v>
      </c>
      <c r="S33">
        <v>0.02</v>
      </c>
      <c r="T33">
        <v>0.01</v>
      </c>
      <c r="U33">
        <v>0.93</v>
      </c>
      <c r="W33">
        <v>0.01</v>
      </c>
      <c r="X33">
        <v>0</v>
      </c>
      <c r="Y33">
        <v>0.01</v>
      </c>
      <c r="Z33">
        <v>0.01</v>
      </c>
      <c r="AA33">
        <v>0</v>
      </c>
      <c r="AB33">
        <v>0.97</v>
      </c>
      <c r="AD33">
        <v>0.05</v>
      </c>
      <c r="AE33">
        <v>0</v>
      </c>
      <c r="AF33">
        <v>0</v>
      </c>
      <c r="AG33">
        <v>0</v>
      </c>
      <c r="AH33">
        <v>0</v>
      </c>
      <c r="AI33">
        <v>0.95</v>
      </c>
      <c r="AK33">
        <v>0.01</v>
      </c>
      <c r="AL33">
        <v>0</v>
      </c>
      <c r="AM33">
        <v>0.02</v>
      </c>
      <c r="AN33">
        <v>0.01</v>
      </c>
      <c r="AO33">
        <v>0</v>
      </c>
      <c r="AP33">
        <v>0.95</v>
      </c>
    </row>
    <row r="34" spans="1:42" x14ac:dyDescent="0.25">
      <c r="B34" s="1"/>
      <c r="C34" s="1"/>
      <c r="D34" s="1"/>
      <c r="E34" s="1"/>
      <c r="F34" s="1"/>
      <c r="G34" s="1"/>
    </row>
    <row r="35" spans="1:42" x14ac:dyDescent="0.25">
      <c r="B35" s="11">
        <f>AVERAGE(I35,P35,W35,AD35,AK35)</f>
        <v>0.82199999999999984</v>
      </c>
      <c r="C35" s="1"/>
      <c r="D35" s="1"/>
      <c r="E35" s="1"/>
      <c r="F35" s="1"/>
      <c r="G35" s="1"/>
      <c r="I35">
        <v>0.83</v>
      </c>
      <c r="J35">
        <v>935</v>
      </c>
      <c r="P35">
        <v>0.82</v>
      </c>
      <c r="Q35">
        <v>931</v>
      </c>
      <c r="W35">
        <v>0.81</v>
      </c>
      <c r="X35">
        <v>932</v>
      </c>
      <c r="AD35">
        <v>0.82</v>
      </c>
      <c r="AE35">
        <v>933</v>
      </c>
      <c r="AK35">
        <v>0.83</v>
      </c>
      <c r="AL35">
        <v>933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t="s">
        <v>0</v>
      </c>
      <c r="C38" t="s">
        <v>2</v>
      </c>
      <c r="D38" t="s">
        <v>1</v>
      </c>
      <c r="E38" t="s">
        <v>3</v>
      </c>
      <c r="F38" t="s">
        <v>4</v>
      </c>
      <c r="G38" t="s">
        <v>5</v>
      </c>
    </row>
    <row r="39" spans="1:42" x14ac:dyDescent="0.25">
      <c r="A39" t="s">
        <v>0</v>
      </c>
      <c r="B39" s="11">
        <f>AVERAGE(I39,P39,W39,AD39,AK39)</f>
        <v>0.62</v>
      </c>
      <c r="C39" s="1">
        <f>AVERAGE(J39,Q39,X39,AE39,AL39)</f>
        <v>1.2E-2</v>
      </c>
      <c r="D39" s="1">
        <f>AVERAGE(K39,R39,Y39,AF39,AM39)</f>
        <v>3.5999999999999997E-2</v>
      </c>
      <c r="E39" s="1">
        <f>AVERAGE(L39,S39,Z39,AG39,AN39)</f>
        <v>7.8E-2</v>
      </c>
      <c r="F39" s="1">
        <f>AVERAGE(M39,T39,AA39,AH39,AO39)</f>
        <v>2.1999999999999999E-2</v>
      </c>
      <c r="G39" s="1">
        <f>AVERAGE(N39,U39,AB39,AI39,AP39)</f>
        <v>0.23600000000000004</v>
      </c>
      <c r="I39">
        <v>0.65</v>
      </c>
      <c r="J39">
        <v>0</v>
      </c>
      <c r="K39">
        <v>0.06</v>
      </c>
      <c r="L39">
        <v>0</v>
      </c>
      <c r="M39">
        <v>0</v>
      </c>
      <c r="N39">
        <v>0.28999999999999998</v>
      </c>
      <c r="P39">
        <v>0.72</v>
      </c>
      <c r="Q39">
        <v>0</v>
      </c>
      <c r="R39">
        <v>0</v>
      </c>
      <c r="S39">
        <v>0</v>
      </c>
      <c r="T39">
        <v>0.11</v>
      </c>
      <c r="U39">
        <v>0.17</v>
      </c>
      <c r="W39">
        <v>0.56000000000000005</v>
      </c>
      <c r="X39">
        <v>0.06</v>
      </c>
      <c r="Y39">
        <v>0.06</v>
      </c>
      <c r="Z39">
        <v>0.06</v>
      </c>
      <c r="AA39">
        <v>0</v>
      </c>
      <c r="AB39">
        <v>0.28000000000000003</v>
      </c>
      <c r="AD39">
        <v>0.56000000000000005</v>
      </c>
      <c r="AE39">
        <v>0</v>
      </c>
      <c r="AF39">
        <v>0</v>
      </c>
      <c r="AG39">
        <v>0.11</v>
      </c>
      <c r="AH39">
        <v>0</v>
      </c>
      <c r="AI39">
        <v>0.33</v>
      </c>
      <c r="AK39">
        <v>0.61</v>
      </c>
      <c r="AL39">
        <v>0</v>
      </c>
      <c r="AM39">
        <v>0.06</v>
      </c>
      <c r="AN39">
        <v>0.22</v>
      </c>
      <c r="AO39">
        <v>0</v>
      </c>
      <c r="AP39">
        <v>0.11</v>
      </c>
    </row>
    <row r="40" spans="1:42" x14ac:dyDescent="0.25">
      <c r="A40" t="s">
        <v>2</v>
      </c>
      <c r="B40" s="1">
        <f>AVERAGE(I40,P40,W40,AD40,AK40)</f>
        <v>0.04</v>
      </c>
      <c r="C40" s="11">
        <f>AVERAGE(J40,Q40,X40,AE40,AL40)</f>
        <v>0.59199999999999997</v>
      </c>
      <c r="D40" s="1">
        <f>AVERAGE(K40,R40,Y40,AF40,AM40)</f>
        <v>0.158</v>
      </c>
      <c r="E40" s="1">
        <f>AVERAGE(L40,S40,Z40,AG40,AN40)</f>
        <v>0.158</v>
      </c>
      <c r="F40" s="1">
        <f>AVERAGE(M40,T40,AA40,AH40,AO40)</f>
        <v>2.6000000000000002E-2</v>
      </c>
      <c r="G40" s="1">
        <f>AVERAGE(N40,U40,AB40,AI40,AP40)</f>
        <v>2.6000000000000002E-2</v>
      </c>
      <c r="I40">
        <v>7.0000000000000007E-2</v>
      </c>
      <c r="J40">
        <v>0.53</v>
      </c>
      <c r="K40">
        <v>0.13</v>
      </c>
      <c r="L40">
        <v>0.27</v>
      </c>
      <c r="M40">
        <v>0</v>
      </c>
      <c r="N40">
        <v>0</v>
      </c>
      <c r="P40">
        <v>0.06</v>
      </c>
      <c r="Q40">
        <v>0.56000000000000005</v>
      </c>
      <c r="R40">
        <v>0.06</v>
      </c>
      <c r="S40">
        <v>0.25</v>
      </c>
      <c r="T40">
        <v>0.06</v>
      </c>
      <c r="U40">
        <v>0</v>
      </c>
      <c r="W40">
        <v>0</v>
      </c>
      <c r="X40">
        <v>0.67</v>
      </c>
      <c r="Y40">
        <v>0.27</v>
      </c>
      <c r="Z40">
        <v>7.0000000000000007E-2</v>
      </c>
      <c r="AA40">
        <v>0</v>
      </c>
      <c r="AB40">
        <v>0</v>
      </c>
      <c r="AD40">
        <v>0</v>
      </c>
      <c r="AE40">
        <v>0.67</v>
      </c>
      <c r="AF40">
        <v>0.13</v>
      </c>
      <c r="AG40">
        <v>0.13</v>
      </c>
      <c r="AH40">
        <v>7.0000000000000007E-2</v>
      </c>
      <c r="AI40">
        <v>0</v>
      </c>
      <c r="AK40">
        <v>7.0000000000000007E-2</v>
      </c>
      <c r="AL40">
        <v>0.53</v>
      </c>
      <c r="AM40">
        <v>0.2</v>
      </c>
      <c r="AN40">
        <v>7.0000000000000007E-2</v>
      </c>
      <c r="AO40">
        <v>0</v>
      </c>
      <c r="AP40">
        <v>0.13</v>
      </c>
    </row>
    <row r="41" spans="1:42" x14ac:dyDescent="0.25">
      <c r="A41" t="s">
        <v>1</v>
      </c>
      <c r="B41" s="1">
        <f>AVERAGE(I41,P41,W41,AD41,AK41)</f>
        <v>5.4000000000000006E-2</v>
      </c>
      <c r="C41" s="1">
        <f>AVERAGE(J41,Q41,X41,AE41,AL41)</f>
        <v>0.28599999999999998</v>
      </c>
      <c r="D41" s="11">
        <f>AVERAGE(K41,R41,Y41,AF41,AM41)</f>
        <v>0.39600000000000002</v>
      </c>
      <c r="E41" s="1">
        <f>AVERAGE(L41,S41,Z41,AG41,AN41)</f>
        <v>0.13</v>
      </c>
      <c r="F41" s="1">
        <f>AVERAGE(M41,T41,AA41,AH41,AO41)</f>
        <v>8.7999999999999995E-2</v>
      </c>
      <c r="G41" s="1">
        <f>AVERAGE(N41,U41,AB41,AI41,AP41)</f>
        <v>5.4000000000000006E-2</v>
      </c>
      <c r="I41">
        <v>0</v>
      </c>
      <c r="J41">
        <v>0.28000000000000003</v>
      </c>
      <c r="K41">
        <v>0.56000000000000005</v>
      </c>
      <c r="L41">
        <v>0.06</v>
      </c>
      <c r="M41">
        <v>0.06</v>
      </c>
      <c r="N41">
        <v>0.06</v>
      </c>
      <c r="P41">
        <v>0</v>
      </c>
      <c r="Q41">
        <v>0.21</v>
      </c>
      <c r="R41">
        <v>0.47</v>
      </c>
      <c r="S41">
        <v>0.16</v>
      </c>
      <c r="T41">
        <v>0.11</v>
      </c>
      <c r="U41">
        <v>0.05</v>
      </c>
      <c r="W41">
        <v>0.11</v>
      </c>
      <c r="X41">
        <v>0.42</v>
      </c>
      <c r="Y41">
        <v>0.11</v>
      </c>
      <c r="Z41">
        <v>0.21</v>
      </c>
      <c r="AA41">
        <v>0.11</v>
      </c>
      <c r="AB41">
        <v>0.05</v>
      </c>
      <c r="AD41">
        <v>0.05</v>
      </c>
      <c r="AE41">
        <v>0.26</v>
      </c>
      <c r="AF41">
        <v>0.37</v>
      </c>
      <c r="AG41">
        <v>0.11</v>
      </c>
      <c r="AH41">
        <v>0.11</v>
      </c>
      <c r="AI41">
        <v>0.11</v>
      </c>
      <c r="AK41">
        <v>0.11</v>
      </c>
      <c r="AL41">
        <v>0.26</v>
      </c>
      <c r="AM41">
        <v>0.47</v>
      </c>
      <c r="AN41">
        <v>0.11</v>
      </c>
      <c r="AO41">
        <v>0.05</v>
      </c>
      <c r="AP41">
        <v>0</v>
      </c>
    </row>
    <row r="42" spans="1:42" x14ac:dyDescent="0.25">
      <c r="A42" t="s">
        <v>3</v>
      </c>
      <c r="B42" s="1">
        <f>AVERAGE(I42,P42,W42,AD42,AK42)</f>
        <v>0.10600000000000001</v>
      </c>
      <c r="C42" s="1">
        <f>AVERAGE(J42,Q42,X42,AE42,AL42)</f>
        <v>0.14199999999999999</v>
      </c>
      <c r="D42" s="1">
        <f>AVERAGE(K42,R42,Y42,AF42,AM42)</f>
        <v>0.10600000000000001</v>
      </c>
      <c r="E42" s="11">
        <f>AVERAGE(L42,S42,Z42,AG42,AN42)</f>
        <v>0.46999999999999992</v>
      </c>
      <c r="F42" s="1">
        <f>AVERAGE(M42,T42,AA42,AH42,AO42)</f>
        <v>7.1999999999999995E-2</v>
      </c>
      <c r="G42" s="1">
        <f>AVERAGE(N42,U42,AB42,AI42,AP42)</f>
        <v>0.10400000000000001</v>
      </c>
      <c r="I42">
        <v>0.08</v>
      </c>
      <c r="J42">
        <v>0.11</v>
      </c>
      <c r="K42">
        <v>0.08</v>
      </c>
      <c r="L42">
        <v>0.56000000000000005</v>
      </c>
      <c r="M42">
        <v>0.09</v>
      </c>
      <c r="N42">
        <v>7.0000000000000007E-2</v>
      </c>
      <c r="P42">
        <v>0.12</v>
      </c>
      <c r="Q42">
        <v>0.19</v>
      </c>
      <c r="R42">
        <v>7.0000000000000007E-2</v>
      </c>
      <c r="S42">
        <v>0.43</v>
      </c>
      <c r="T42">
        <v>0.09</v>
      </c>
      <c r="U42">
        <v>0.1</v>
      </c>
      <c r="W42">
        <v>0.09</v>
      </c>
      <c r="X42">
        <v>0.22</v>
      </c>
      <c r="Y42">
        <v>0.14000000000000001</v>
      </c>
      <c r="Z42">
        <v>0.42</v>
      </c>
      <c r="AA42">
        <v>0.08</v>
      </c>
      <c r="AB42">
        <v>0.05</v>
      </c>
      <c r="AD42">
        <v>0.12</v>
      </c>
      <c r="AE42">
        <v>0.11</v>
      </c>
      <c r="AF42">
        <v>0.13</v>
      </c>
      <c r="AG42">
        <v>0.42</v>
      </c>
      <c r="AH42">
        <v>0.06</v>
      </c>
      <c r="AI42">
        <v>0.16</v>
      </c>
      <c r="AK42">
        <v>0.12</v>
      </c>
      <c r="AL42">
        <v>0.08</v>
      </c>
      <c r="AM42">
        <v>0.11</v>
      </c>
      <c r="AN42">
        <v>0.52</v>
      </c>
      <c r="AO42">
        <v>0.04</v>
      </c>
      <c r="AP42">
        <v>0.14000000000000001</v>
      </c>
    </row>
    <row r="43" spans="1:42" x14ac:dyDescent="0.25">
      <c r="A43" t="s">
        <v>4</v>
      </c>
      <c r="B43" s="1">
        <f>AVERAGE(I43,P43,W43,AD43,AK43)</f>
        <v>0.13400000000000001</v>
      </c>
      <c r="C43" s="1">
        <f>AVERAGE(J43,Q43,X43,AE43,AL43)</f>
        <v>0.19600000000000001</v>
      </c>
      <c r="D43" s="1">
        <f>AVERAGE(K43,R43,Y43,AF43,AM43)</f>
        <v>0.19</v>
      </c>
      <c r="E43" s="1">
        <f>AVERAGE(L43,S43,Z43,AG43,AN43)</f>
        <v>0.13199999999999998</v>
      </c>
      <c r="F43" s="11">
        <f>AVERAGE(M43,T43,AA43,AH43,AO43)</f>
        <v>0.126</v>
      </c>
      <c r="G43" s="1">
        <f>AVERAGE(N43,U43,AB43,AI43,AP43)</f>
        <v>0.22599999999999998</v>
      </c>
      <c r="I43">
        <v>0.16</v>
      </c>
      <c r="J43">
        <v>0.18</v>
      </c>
      <c r="K43">
        <v>0.18</v>
      </c>
      <c r="L43">
        <v>7.0000000000000007E-2</v>
      </c>
      <c r="M43">
        <v>0.09</v>
      </c>
      <c r="N43">
        <v>0.32</v>
      </c>
      <c r="P43">
        <v>0.11</v>
      </c>
      <c r="Q43">
        <v>0.26</v>
      </c>
      <c r="R43">
        <v>0.16</v>
      </c>
      <c r="S43">
        <v>0.14000000000000001</v>
      </c>
      <c r="T43">
        <v>0.14000000000000001</v>
      </c>
      <c r="U43">
        <v>0.2</v>
      </c>
      <c r="W43">
        <v>0.14000000000000001</v>
      </c>
      <c r="X43">
        <v>0.2</v>
      </c>
      <c r="Y43">
        <v>0.22</v>
      </c>
      <c r="Z43">
        <v>0.11</v>
      </c>
      <c r="AA43">
        <v>0.16</v>
      </c>
      <c r="AB43">
        <v>0.18</v>
      </c>
      <c r="AD43">
        <v>0.14000000000000001</v>
      </c>
      <c r="AE43">
        <v>0.12</v>
      </c>
      <c r="AF43">
        <v>0.19</v>
      </c>
      <c r="AG43">
        <v>0.16</v>
      </c>
      <c r="AH43">
        <v>0.15</v>
      </c>
      <c r="AI43">
        <v>0.24</v>
      </c>
      <c r="AK43">
        <v>0.12</v>
      </c>
      <c r="AL43">
        <v>0.22</v>
      </c>
      <c r="AM43">
        <v>0.2</v>
      </c>
      <c r="AN43">
        <v>0.18</v>
      </c>
      <c r="AO43">
        <v>0.09</v>
      </c>
      <c r="AP43">
        <v>0.19</v>
      </c>
    </row>
    <row r="44" spans="1:42" x14ac:dyDescent="0.25">
      <c r="A44" t="s">
        <v>5</v>
      </c>
      <c r="B44" s="1">
        <f>AVERAGE(I44,P44,W44,AD44,AK44)</f>
        <v>0.22000000000000003</v>
      </c>
      <c r="C44" s="1">
        <f>AVERAGE(J44,Q44,X44,AE44,AL44)</f>
        <v>0.02</v>
      </c>
      <c r="D44" s="1">
        <f>AVERAGE(K44,R44,Y44,AF44,AM44)</f>
        <v>0.12000000000000002</v>
      </c>
      <c r="E44" s="1">
        <f>AVERAGE(L44,S44,Z44,AG44,AN44)</f>
        <v>7.3999999999999996E-2</v>
      </c>
      <c r="F44" s="1">
        <f>AVERAGE(M44,T44,AA44,AH44,AO44)</f>
        <v>0.13599999999999998</v>
      </c>
      <c r="G44" s="11">
        <f>AVERAGE(N44,U44,AB44,AI44,AP44)</f>
        <v>0.43600000000000005</v>
      </c>
      <c r="I44">
        <v>0.23</v>
      </c>
      <c r="J44">
        <v>0.05</v>
      </c>
      <c r="K44">
        <v>0.09</v>
      </c>
      <c r="L44">
        <v>0.09</v>
      </c>
      <c r="M44">
        <v>0.09</v>
      </c>
      <c r="N44">
        <v>0.45</v>
      </c>
      <c r="P44">
        <v>0.14000000000000001</v>
      </c>
      <c r="Q44">
        <v>0</v>
      </c>
      <c r="R44">
        <v>0.18</v>
      </c>
      <c r="S44">
        <v>0.05</v>
      </c>
      <c r="T44">
        <v>0.23</v>
      </c>
      <c r="U44">
        <v>0.41</v>
      </c>
      <c r="W44">
        <v>0.23</v>
      </c>
      <c r="X44">
        <v>0</v>
      </c>
      <c r="Y44">
        <v>0.05</v>
      </c>
      <c r="Z44">
        <v>0.09</v>
      </c>
      <c r="AA44">
        <v>0.09</v>
      </c>
      <c r="AB44">
        <v>0.55000000000000004</v>
      </c>
      <c r="AD44">
        <v>0.14000000000000001</v>
      </c>
      <c r="AE44">
        <v>0.05</v>
      </c>
      <c r="AF44">
        <v>0.23</v>
      </c>
      <c r="AG44">
        <v>0.05</v>
      </c>
      <c r="AH44">
        <v>0.09</v>
      </c>
      <c r="AI44">
        <v>0.45</v>
      </c>
      <c r="AK44">
        <v>0.36</v>
      </c>
      <c r="AL44">
        <v>0</v>
      </c>
      <c r="AM44">
        <v>0.05</v>
      </c>
      <c r="AN44">
        <v>0.09</v>
      </c>
      <c r="AO44">
        <v>0.18</v>
      </c>
      <c r="AP44">
        <v>0.32</v>
      </c>
    </row>
    <row r="45" spans="1:42" x14ac:dyDescent="0.25">
      <c r="B45" s="1"/>
      <c r="C45" s="1"/>
      <c r="D45" s="1"/>
      <c r="E45" s="1"/>
      <c r="F45" s="1"/>
      <c r="G45" s="1"/>
    </row>
    <row r="46" spans="1:42" x14ac:dyDescent="0.25">
      <c r="B46" s="11">
        <f>AVERAGE(I46,P46,W46,AD46,AK46)</f>
        <v>0.43999999999999995</v>
      </c>
      <c r="C46" s="1"/>
      <c r="D46" s="1"/>
      <c r="E46" s="1"/>
      <c r="F46" s="1"/>
      <c r="G46" s="1"/>
      <c r="I46">
        <v>0.47</v>
      </c>
      <c r="J46">
        <v>231</v>
      </c>
      <c r="P46">
        <v>0.46</v>
      </c>
      <c r="Q46">
        <v>235</v>
      </c>
      <c r="W46">
        <v>0.41</v>
      </c>
      <c r="X46">
        <v>234</v>
      </c>
      <c r="AD46">
        <v>0.44</v>
      </c>
      <c r="AE46">
        <v>233</v>
      </c>
      <c r="AK46">
        <v>0.42</v>
      </c>
      <c r="AL46">
        <v>233</v>
      </c>
    </row>
    <row r="48" spans="1:42" x14ac:dyDescent="0.25">
      <c r="B48" t="s">
        <v>28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A8C2-8EB0-4F20-895B-8FD5206E67DC}">
  <sheetPr codeName="Arkusz1"/>
  <dimension ref="A1:X48"/>
  <sheetViews>
    <sheetView zoomScale="97" zoomScaleNormal="97" workbookViewId="0">
      <selection activeCell="E22" sqref="E22"/>
    </sheetView>
  </sheetViews>
  <sheetFormatPr defaultRowHeight="15" x14ac:dyDescent="0.25"/>
  <cols>
    <col min="17" max="17" width="9.85546875" bestFit="1" customWidth="1"/>
  </cols>
  <sheetData>
    <row r="1" spans="1:24" x14ac:dyDescent="0.25">
      <c r="P1" s="6" t="s">
        <v>10</v>
      </c>
      <c r="Q1" s="6"/>
      <c r="R1" s="6"/>
    </row>
    <row r="2" spans="1:24" x14ac:dyDescent="0.25">
      <c r="D2" s="6" t="s">
        <v>6</v>
      </c>
      <c r="E2" s="6"/>
      <c r="K2" s="6" t="s">
        <v>7</v>
      </c>
      <c r="L2" s="6"/>
      <c r="M2" s="6"/>
      <c r="P2" s="6" t="s">
        <v>9</v>
      </c>
      <c r="Q2" s="6"/>
      <c r="R2" s="6"/>
      <c r="S2" s="6"/>
      <c r="T2" s="6"/>
      <c r="U2" s="6"/>
    </row>
    <row r="4" spans="1:24" x14ac:dyDescent="0.25">
      <c r="B4" s="7" t="s">
        <v>0</v>
      </c>
      <c r="C4" t="s">
        <v>2</v>
      </c>
      <c r="D4" t="s">
        <v>1</v>
      </c>
      <c r="E4" s="8" t="s">
        <v>3</v>
      </c>
      <c r="F4" s="8" t="s">
        <v>4</v>
      </c>
      <c r="G4" s="8" t="s">
        <v>5</v>
      </c>
      <c r="I4" s="7" t="s">
        <v>0</v>
      </c>
      <c r="J4" t="s">
        <v>2</v>
      </c>
      <c r="K4" t="s">
        <v>1</v>
      </c>
      <c r="L4" s="8" t="s">
        <v>3</v>
      </c>
      <c r="M4" s="8" t="s">
        <v>4</v>
      </c>
      <c r="N4" s="8" t="s">
        <v>5</v>
      </c>
      <c r="P4" s="7" t="s">
        <v>0</v>
      </c>
      <c r="Q4" t="s">
        <v>2</v>
      </c>
      <c r="R4" t="s">
        <v>1</v>
      </c>
      <c r="S4" s="8" t="s">
        <v>3</v>
      </c>
      <c r="T4" s="8" t="s">
        <v>4</v>
      </c>
      <c r="U4" s="8" t="s">
        <v>5</v>
      </c>
    </row>
    <row r="5" spans="1:24" x14ac:dyDescent="0.25">
      <c r="A5" s="2" t="s">
        <v>0</v>
      </c>
      <c r="B5" s="11">
        <v>0.78200000000000003</v>
      </c>
      <c r="C5" s="1">
        <v>4.8000000000000001E-2</v>
      </c>
      <c r="D5" s="1">
        <v>0.1</v>
      </c>
      <c r="E5" s="1">
        <v>1.7999999999999999E-2</v>
      </c>
      <c r="F5" s="1">
        <v>0</v>
      </c>
      <c r="G5" s="1">
        <v>5.2000000000000005E-2</v>
      </c>
      <c r="I5" s="11">
        <v>0.99199999999999999</v>
      </c>
      <c r="J5" s="1">
        <v>0</v>
      </c>
      <c r="K5" s="1">
        <v>4.0000000000000001E-3</v>
      </c>
      <c r="L5" s="1">
        <v>0</v>
      </c>
      <c r="M5" s="1">
        <v>2E-3</v>
      </c>
      <c r="N5" s="1">
        <v>2E-3</v>
      </c>
      <c r="P5" s="4">
        <f t="shared" ref="P5:U10" si="0">I5-B5</f>
        <v>0.20999999999999996</v>
      </c>
      <c r="Q5" s="1">
        <f t="shared" si="0"/>
        <v>-4.8000000000000001E-2</v>
      </c>
      <c r="R5" s="1">
        <f t="shared" si="0"/>
        <v>-9.6000000000000002E-2</v>
      </c>
      <c r="S5" s="1">
        <f t="shared" si="0"/>
        <v>-1.7999999999999999E-2</v>
      </c>
      <c r="T5" s="1">
        <f t="shared" si="0"/>
        <v>2E-3</v>
      </c>
      <c r="U5" s="1">
        <f t="shared" si="0"/>
        <v>-0.05</v>
      </c>
    </row>
    <row r="6" spans="1:24" x14ac:dyDescent="0.25">
      <c r="A6" t="s">
        <v>2</v>
      </c>
      <c r="B6" s="1">
        <v>0</v>
      </c>
      <c r="C6" s="11">
        <v>0.99199999999999999</v>
      </c>
      <c r="D6" s="1">
        <v>8.0000000000000002E-3</v>
      </c>
      <c r="E6" s="1">
        <v>0</v>
      </c>
      <c r="F6" s="1">
        <v>0</v>
      </c>
      <c r="G6" s="1">
        <v>0</v>
      </c>
      <c r="I6" s="1">
        <v>0</v>
      </c>
      <c r="J6" s="11">
        <v>0.99</v>
      </c>
      <c r="K6" s="1">
        <v>4.0000000000000001E-3</v>
      </c>
      <c r="L6" s="1">
        <v>4.0000000000000001E-3</v>
      </c>
      <c r="M6" s="1">
        <v>0</v>
      </c>
      <c r="N6" s="1">
        <v>4.0000000000000001E-3</v>
      </c>
      <c r="P6" s="1">
        <f t="shared" si="0"/>
        <v>0</v>
      </c>
      <c r="Q6" s="4">
        <f t="shared" si="0"/>
        <v>-2.0000000000000018E-3</v>
      </c>
      <c r="R6" s="1">
        <f>K6-D6</f>
        <v>-4.0000000000000001E-3</v>
      </c>
      <c r="S6" s="1">
        <f t="shared" si="0"/>
        <v>4.0000000000000001E-3</v>
      </c>
      <c r="T6" s="1">
        <f t="shared" si="0"/>
        <v>0</v>
      </c>
      <c r="U6" s="1">
        <f t="shared" si="0"/>
        <v>4.0000000000000001E-3</v>
      </c>
    </row>
    <row r="7" spans="1:24" x14ac:dyDescent="0.25">
      <c r="A7" t="s">
        <v>1</v>
      </c>
      <c r="B7" s="1">
        <v>0</v>
      </c>
      <c r="C7" s="1">
        <v>2.6000000000000002E-2</v>
      </c>
      <c r="D7" s="11">
        <v>0.97399999999999998</v>
      </c>
      <c r="E7" s="1">
        <v>0</v>
      </c>
      <c r="F7" s="1">
        <v>0</v>
      </c>
      <c r="G7" s="1">
        <v>0</v>
      </c>
      <c r="I7" s="1">
        <v>2E-3</v>
      </c>
      <c r="J7" s="1">
        <v>1.6E-2</v>
      </c>
      <c r="K7" s="11">
        <v>0.96400000000000008</v>
      </c>
      <c r="L7" s="1">
        <v>0.01</v>
      </c>
      <c r="M7" s="1">
        <v>4.0000000000000001E-3</v>
      </c>
      <c r="N7" s="1">
        <v>0</v>
      </c>
      <c r="P7" s="1">
        <f t="shared" si="0"/>
        <v>2E-3</v>
      </c>
      <c r="Q7" s="1">
        <f t="shared" si="0"/>
        <v>-1.0000000000000002E-2</v>
      </c>
      <c r="R7" s="4">
        <f t="shared" si="0"/>
        <v>-9.9999999999998979E-3</v>
      </c>
      <c r="S7" s="1">
        <f>L7-E7</f>
        <v>0.01</v>
      </c>
      <c r="T7" s="1">
        <f t="shared" si="0"/>
        <v>4.0000000000000001E-3</v>
      </c>
      <c r="U7" s="1">
        <f t="shared" si="0"/>
        <v>0</v>
      </c>
      <c r="X7" s="3"/>
    </row>
    <row r="8" spans="1:24" x14ac:dyDescent="0.25">
      <c r="A8" t="s">
        <v>3</v>
      </c>
      <c r="B8" s="1">
        <v>1.7999999999999999E-2</v>
      </c>
      <c r="C8" s="1">
        <v>0.156</v>
      </c>
      <c r="D8" s="1">
        <v>0.21999999999999997</v>
      </c>
      <c r="E8" s="11">
        <v>0.56200000000000006</v>
      </c>
      <c r="F8" s="1">
        <v>6.0000000000000001E-3</v>
      </c>
      <c r="G8" s="1">
        <v>3.4000000000000002E-2</v>
      </c>
      <c r="I8" s="1">
        <v>8.199999999999999E-2</v>
      </c>
      <c r="J8" s="1">
        <v>7.400000000000001E-2</v>
      </c>
      <c r="K8" s="1">
        <v>5.3999999999999992E-2</v>
      </c>
      <c r="L8" s="11">
        <v>0.70399999999999996</v>
      </c>
      <c r="M8" s="1">
        <v>0.02</v>
      </c>
      <c r="N8" s="1">
        <v>6.4000000000000001E-2</v>
      </c>
      <c r="P8" s="1">
        <f t="shared" si="0"/>
        <v>6.3999999999999987E-2</v>
      </c>
      <c r="Q8" s="1">
        <f t="shared" si="0"/>
        <v>-8.199999999999999E-2</v>
      </c>
      <c r="R8" s="1">
        <f>K8-D8</f>
        <v>-0.16599999999999998</v>
      </c>
      <c r="S8" s="4">
        <f t="shared" si="0"/>
        <v>0.1419999999999999</v>
      </c>
      <c r="T8" s="1">
        <f t="shared" si="0"/>
        <v>1.4E-2</v>
      </c>
      <c r="U8" s="1">
        <f t="shared" si="0"/>
        <v>0.03</v>
      </c>
    </row>
    <row r="9" spans="1:24" x14ac:dyDescent="0.25">
      <c r="A9" t="s">
        <v>4</v>
      </c>
      <c r="B9" s="1">
        <v>8.5999999999999993E-2</v>
      </c>
      <c r="C9" s="1">
        <v>0.23199999999999998</v>
      </c>
      <c r="D9" s="1">
        <v>0.35000000000000003</v>
      </c>
      <c r="E9" s="1">
        <v>8.2000000000000003E-2</v>
      </c>
      <c r="F9" s="11">
        <v>0.11000000000000001</v>
      </c>
      <c r="G9" s="1">
        <v>0.14199999999999999</v>
      </c>
      <c r="I9" s="1">
        <v>0.10600000000000001</v>
      </c>
      <c r="J9" s="1">
        <v>0.15400000000000003</v>
      </c>
      <c r="K9" s="1">
        <v>0.10200000000000001</v>
      </c>
      <c r="L9" s="1">
        <v>0.124</v>
      </c>
      <c r="M9" s="11">
        <v>0.35</v>
      </c>
      <c r="N9" s="1">
        <v>0.16600000000000004</v>
      </c>
      <c r="P9" s="1">
        <f t="shared" si="0"/>
        <v>2.0000000000000018E-2</v>
      </c>
      <c r="Q9" s="1">
        <f t="shared" si="0"/>
        <v>-7.7999999999999958E-2</v>
      </c>
      <c r="R9" s="1">
        <f t="shared" si="0"/>
        <v>-0.24800000000000003</v>
      </c>
      <c r="S9" s="1">
        <f t="shared" si="0"/>
        <v>4.1999999999999996E-2</v>
      </c>
      <c r="T9" s="4">
        <f t="shared" si="0"/>
        <v>0.23999999999999996</v>
      </c>
      <c r="U9" s="1">
        <f t="shared" si="0"/>
        <v>2.4000000000000049E-2</v>
      </c>
    </row>
    <row r="10" spans="1:24" x14ac:dyDescent="0.25">
      <c r="A10" t="s">
        <v>5</v>
      </c>
      <c r="B10" s="1">
        <v>3.6000000000000004E-2</v>
      </c>
      <c r="C10" s="1">
        <v>6.6000000000000003E-2</v>
      </c>
      <c r="D10" s="1">
        <v>0.15400000000000003</v>
      </c>
      <c r="E10" s="1">
        <v>0.01</v>
      </c>
      <c r="F10" s="1">
        <v>0</v>
      </c>
      <c r="G10" s="11">
        <v>0.73199999999999998</v>
      </c>
      <c r="I10" s="1">
        <v>3.4000000000000002E-2</v>
      </c>
      <c r="J10" s="1">
        <v>2E-3</v>
      </c>
      <c r="K10" s="1">
        <v>2E-3</v>
      </c>
      <c r="L10" s="1">
        <v>4.0000000000000001E-3</v>
      </c>
      <c r="M10" s="1">
        <v>8.0000000000000002E-3</v>
      </c>
      <c r="N10" s="11">
        <v>0.95</v>
      </c>
      <c r="P10" s="1">
        <f t="shared" si="0"/>
        <v>-2.0000000000000018E-3</v>
      </c>
      <c r="Q10" s="1">
        <f t="shared" si="0"/>
        <v>-6.4000000000000001E-2</v>
      </c>
      <c r="R10" s="1">
        <f t="shared" si="0"/>
        <v>-0.15200000000000002</v>
      </c>
      <c r="S10" s="1">
        <f t="shared" si="0"/>
        <v>-6.0000000000000001E-3</v>
      </c>
      <c r="T10" s="1">
        <f t="shared" si="0"/>
        <v>8.0000000000000002E-3</v>
      </c>
      <c r="U10" s="4">
        <f>N10-G10</f>
        <v>0.21799999999999997</v>
      </c>
    </row>
    <row r="11" spans="1:24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N11" s="1"/>
      <c r="P11" s="1"/>
      <c r="Q11" s="1"/>
      <c r="R11" s="1"/>
      <c r="S11" s="1"/>
      <c r="T11" s="1"/>
      <c r="U11" s="1"/>
    </row>
    <row r="12" spans="1:24" x14ac:dyDescent="0.25">
      <c r="A12" t="s">
        <v>8</v>
      </c>
      <c r="B12" s="11">
        <v>0.69199999999999995</v>
      </c>
      <c r="C12" s="1"/>
      <c r="D12" s="1"/>
      <c r="E12" s="1"/>
      <c r="F12" s="1"/>
      <c r="G12" s="1"/>
      <c r="I12" s="11">
        <v>0.82400000000000007</v>
      </c>
      <c r="J12" s="1"/>
      <c r="K12" s="1"/>
      <c r="L12" s="1"/>
      <c r="M12" s="1"/>
      <c r="N12" s="1"/>
      <c r="P12" s="4">
        <f>I12-B12</f>
        <v>0.13200000000000012</v>
      </c>
      <c r="Q12" s="1"/>
      <c r="R12" s="1"/>
      <c r="S12" s="1"/>
      <c r="T12" s="1"/>
      <c r="U12" s="1"/>
    </row>
    <row r="13" spans="1:24" x14ac:dyDescent="0.25">
      <c r="B13" s="1"/>
      <c r="C13" s="1"/>
      <c r="D13" s="1"/>
      <c r="E13" s="1"/>
      <c r="F13" s="1"/>
      <c r="G13" s="1"/>
      <c r="I13" s="2"/>
    </row>
    <row r="14" spans="1:24" x14ac:dyDescent="0.25">
      <c r="B14" s="1"/>
      <c r="C14" s="1"/>
      <c r="D14" s="1"/>
      <c r="E14" s="1"/>
      <c r="F14" s="1"/>
      <c r="G14" s="1"/>
      <c r="I14" s="2"/>
    </row>
    <row r="15" spans="1:24" x14ac:dyDescent="0.25">
      <c r="B15" s="7" t="s">
        <v>0</v>
      </c>
      <c r="C15" t="s">
        <v>2</v>
      </c>
      <c r="D15" t="s">
        <v>1</v>
      </c>
      <c r="E15" s="8" t="s">
        <v>3</v>
      </c>
      <c r="F15" s="8" t="s">
        <v>4</v>
      </c>
      <c r="G15" s="8" t="s">
        <v>5</v>
      </c>
      <c r="I15" s="7" t="s">
        <v>0</v>
      </c>
      <c r="J15" t="s">
        <v>2</v>
      </c>
      <c r="K15" t="s">
        <v>1</v>
      </c>
      <c r="L15" s="8" t="s">
        <v>3</v>
      </c>
      <c r="M15" s="8" t="s">
        <v>4</v>
      </c>
      <c r="N15" s="8" t="s">
        <v>5</v>
      </c>
      <c r="P15" s="7" t="s">
        <v>0</v>
      </c>
      <c r="Q15" t="s">
        <v>2</v>
      </c>
      <c r="R15" t="s">
        <v>1</v>
      </c>
      <c r="S15" s="8" t="s">
        <v>3</v>
      </c>
      <c r="T15" s="8" t="s">
        <v>4</v>
      </c>
      <c r="U15" s="8" t="s">
        <v>5</v>
      </c>
    </row>
    <row r="16" spans="1:24" x14ac:dyDescent="0.25">
      <c r="A16" s="2" t="s">
        <v>0</v>
      </c>
      <c r="B16" s="11">
        <v>0.57599999999999996</v>
      </c>
      <c r="C16" s="1">
        <v>8.5999999999999993E-2</v>
      </c>
      <c r="D16" s="1">
        <v>0.13600000000000001</v>
      </c>
      <c r="E16" s="1">
        <v>6.3999999999999987E-2</v>
      </c>
      <c r="F16" s="1">
        <v>1.4000000000000002E-2</v>
      </c>
      <c r="G16" s="1">
        <v>0.12999999999999998</v>
      </c>
      <c r="I16" s="11">
        <v>0.53800000000000003</v>
      </c>
      <c r="J16" s="1">
        <v>1.2E-2</v>
      </c>
      <c r="K16" s="1">
        <v>4.8000000000000001E-2</v>
      </c>
      <c r="L16" s="1">
        <v>0.13400000000000001</v>
      </c>
      <c r="M16" s="1">
        <v>4.5999999999999999E-2</v>
      </c>
      <c r="N16" s="1">
        <v>0.22600000000000003</v>
      </c>
      <c r="P16" s="4">
        <f t="shared" ref="P16:U21" si="1">I16-B16</f>
        <v>-3.7999999999999923E-2</v>
      </c>
      <c r="Q16" s="1">
        <f t="shared" si="1"/>
        <v>-7.3999999999999996E-2</v>
      </c>
      <c r="R16" s="1">
        <f t="shared" si="1"/>
        <v>-8.8000000000000009E-2</v>
      </c>
      <c r="S16" s="1">
        <f t="shared" si="1"/>
        <v>7.0000000000000021E-2</v>
      </c>
      <c r="T16" s="1">
        <f t="shared" si="1"/>
        <v>3.2000000000000001E-2</v>
      </c>
      <c r="U16" s="1">
        <f t="shared" si="1"/>
        <v>9.6000000000000058E-2</v>
      </c>
    </row>
    <row r="17" spans="1:21" x14ac:dyDescent="0.25">
      <c r="A17" t="s">
        <v>2</v>
      </c>
      <c r="B17" s="1">
        <v>2.8000000000000004E-2</v>
      </c>
      <c r="C17" s="11">
        <v>0.51400000000000001</v>
      </c>
      <c r="D17" s="1">
        <v>0.36599999999999999</v>
      </c>
      <c r="E17" s="1">
        <v>0.08</v>
      </c>
      <c r="F17" s="1">
        <v>0</v>
      </c>
      <c r="G17" s="1">
        <v>1.4000000000000002E-2</v>
      </c>
      <c r="I17" s="1">
        <v>2.8000000000000004E-2</v>
      </c>
      <c r="J17" s="11">
        <v>0.53600000000000003</v>
      </c>
      <c r="K17" s="1">
        <v>0.14399999999999999</v>
      </c>
      <c r="L17" s="1">
        <v>0.21200000000000002</v>
      </c>
      <c r="M17" s="1">
        <v>0.04</v>
      </c>
      <c r="N17" s="1">
        <v>0.04</v>
      </c>
      <c r="P17" s="1">
        <f t="shared" si="1"/>
        <v>0</v>
      </c>
      <c r="Q17" s="4">
        <f t="shared" si="1"/>
        <v>2.200000000000002E-2</v>
      </c>
      <c r="R17" s="1">
        <f t="shared" si="1"/>
        <v>-0.222</v>
      </c>
      <c r="S17" s="1">
        <f t="shared" si="1"/>
        <v>0.13200000000000001</v>
      </c>
      <c r="T17" s="1">
        <f t="shared" si="1"/>
        <v>0.04</v>
      </c>
      <c r="U17" s="1">
        <f t="shared" si="1"/>
        <v>2.5999999999999999E-2</v>
      </c>
    </row>
    <row r="18" spans="1:21" x14ac:dyDescent="0.25">
      <c r="A18" t="s">
        <v>1</v>
      </c>
      <c r="B18" s="1">
        <v>4.3999999999999997E-2</v>
      </c>
      <c r="C18" s="1">
        <v>0.31799999999999995</v>
      </c>
      <c r="D18" s="11">
        <v>0.52400000000000002</v>
      </c>
      <c r="E18" s="1">
        <v>6.4000000000000001E-2</v>
      </c>
      <c r="F18" s="1">
        <v>4.2000000000000003E-2</v>
      </c>
      <c r="G18" s="1">
        <v>0.01</v>
      </c>
      <c r="I18" s="1">
        <v>7.5999999999999998E-2</v>
      </c>
      <c r="J18" s="1">
        <v>0.36199999999999999</v>
      </c>
      <c r="K18" s="11">
        <v>0.308</v>
      </c>
      <c r="L18" s="1">
        <v>0.128</v>
      </c>
      <c r="M18" s="1">
        <v>8.3999999999999991E-2</v>
      </c>
      <c r="N18" s="1">
        <v>4.2000000000000003E-2</v>
      </c>
      <c r="P18" s="1">
        <f t="shared" si="1"/>
        <v>3.2000000000000001E-2</v>
      </c>
      <c r="Q18" s="1">
        <f t="shared" si="1"/>
        <v>4.4000000000000039E-2</v>
      </c>
      <c r="R18" s="4">
        <f t="shared" si="1"/>
        <v>-0.21600000000000003</v>
      </c>
      <c r="S18" s="1">
        <f t="shared" si="1"/>
        <v>6.4000000000000001E-2</v>
      </c>
      <c r="T18" s="1">
        <f t="shared" si="1"/>
        <v>4.1999999999999989E-2</v>
      </c>
      <c r="U18" s="1">
        <f t="shared" si="1"/>
        <v>3.2000000000000001E-2</v>
      </c>
    </row>
    <row r="19" spans="1:21" x14ac:dyDescent="0.25">
      <c r="A19" t="s">
        <v>3</v>
      </c>
      <c r="B19" s="1">
        <v>2.8000000000000004E-2</v>
      </c>
      <c r="C19" s="1">
        <v>0.16999999999999998</v>
      </c>
      <c r="D19" s="1">
        <v>0.252</v>
      </c>
      <c r="E19" s="11">
        <v>0.49199999999999999</v>
      </c>
      <c r="F19" s="1">
        <v>1.2E-2</v>
      </c>
      <c r="G19" s="1">
        <v>4.4000000000000004E-2</v>
      </c>
      <c r="I19" s="1">
        <v>0.10999999999999999</v>
      </c>
      <c r="J19" s="1">
        <v>0.13600000000000001</v>
      </c>
      <c r="K19" s="1">
        <v>0.10600000000000001</v>
      </c>
      <c r="L19" s="11">
        <v>0.48399999999999999</v>
      </c>
      <c r="M19" s="1">
        <v>5.5999999999999994E-2</v>
      </c>
      <c r="N19" s="1">
        <v>0.11200000000000002</v>
      </c>
      <c r="P19" s="1">
        <f t="shared" si="1"/>
        <v>8.199999999999999E-2</v>
      </c>
      <c r="Q19" s="1">
        <f t="shared" si="1"/>
        <v>-3.3999999999999975E-2</v>
      </c>
      <c r="R19" s="1">
        <f t="shared" si="1"/>
        <v>-0.14599999999999999</v>
      </c>
      <c r="S19" s="4">
        <f t="shared" si="1"/>
        <v>-8.0000000000000071E-3</v>
      </c>
      <c r="T19" s="1">
        <f t="shared" si="1"/>
        <v>4.3999999999999997E-2</v>
      </c>
      <c r="U19" s="1">
        <f t="shared" si="1"/>
        <v>6.8000000000000005E-2</v>
      </c>
    </row>
    <row r="20" spans="1:21" x14ac:dyDescent="0.25">
      <c r="A20" t="s">
        <v>4</v>
      </c>
      <c r="B20" s="1">
        <v>9.8000000000000004E-2</v>
      </c>
      <c r="C20" s="1">
        <v>0.23199999999999998</v>
      </c>
      <c r="D20" s="1">
        <v>0.31399999999999995</v>
      </c>
      <c r="E20" s="1">
        <v>0.10599999999999998</v>
      </c>
      <c r="F20" s="11">
        <v>0.04</v>
      </c>
      <c r="G20" s="1">
        <v>0.21200000000000002</v>
      </c>
      <c r="I20" s="1">
        <v>0.16400000000000001</v>
      </c>
      <c r="J20" s="1">
        <v>0.182</v>
      </c>
      <c r="K20" s="1">
        <v>0.156</v>
      </c>
      <c r="L20" s="1">
        <v>0.17599999999999999</v>
      </c>
      <c r="M20" s="11">
        <v>0.10799999999999998</v>
      </c>
      <c r="N20" s="1">
        <v>0.21799999999999997</v>
      </c>
      <c r="P20" s="1">
        <f t="shared" si="1"/>
        <v>6.6000000000000003E-2</v>
      </c>
      <c r="Q20" s="1">
        <f t="shared" si="1"/>
        <v>-4.9999999999999989E-2</v>
      </c>
      <c r="R20" s="1">
        <f t="shared" si="1"/>
        <v>-0.15799999999999995</v>
      </c>
      <c r="S20" s="1">
        <f t="shared" si="1"/>
        <v>7.0000000000000007E-2</v>
      </c>
      <c r="T20" s="4">
        <f t="shared" si="1"/>
        <v>6.7999999999999977E-2</v>
      </c>
      <c r="U20" s="1">
        <f t="shared" si="1"/>
        <v>5.9999999999999498E-3</v>
      </c>
    </row>
    <row r="21" spans="1:21" x14ac:dyDescent="0.25">
      <c r="A21" t="s">
        <v>5</v>
      </c>
      <c r="B21" s="1">
        <v>0.13599999999999998</v>
      </c>
      <c r="C21" s="1">
        <v>9.4E-2</v>
      </c>
      <c r="D21" s="1">
        <v>0.23799999999999999</v>
      </c>
      <c r="E21" s="1">
        <v>4.3999999999999997E-2</v>
      </c>
      <c r="F21" s="1">
        <v>2.8000000000000004E-2</v>
      </c>
      <c r="G21" s="11">
        <v>0.46400000000000008</v>
      </c>
      <c r="I21" s="1">
        <v>0.3</v>
      </c>
      <c r="J21" s="1">
        <v>4.5999999999999999E-2</v>
      </c>
      <c r="K21" s="1">
        <v>7.5999999999999998E-2</v>
      </c>
      <c r="L21" s="1">
        <v>5.6000000000000008E-2</v>
      </c>
      <c r="M21" s="1">
        <v>0.11799999999999999</v>
      </c>
      <c r="N21" s="11">
        <v>0.40800000000000003</v>
      </c>
      <c r="P21" s="1">
        <f t="shared" si="1"/>
        <v>0.16400000000000001</v>
      </c>
      <c r="Q21" s="1">
        <f t="shared" si="1"/>
        <v>-4.8000000000000001E-2</v>
      </c>
      <c r="R21" s="1">
        <f t="shared" si="1"/>
        <v>-0.16199999999999998</v>
      </c>
      <c r="S21" s="1">
        <f t="shared" si="1"/>
        <v>1.2000000000000011E-2</v>
      </c>
      <c r="T21" s="1">
        <f t="shared" si="1"/>
        <v>0.09</v>
      </c>
      <c r="U21" s="4">
        <f t="shared" si="1"/>
        <v>-5.600000000000005E-2</v>
      </c>
    </row>
    <row r="22" spans="1:21" x14ac:dyDescent="0.25">
      <c r="B22" s="1"/>
      <c r="C22" s="1"/>
      <c r="D22" s="1"/>
      <c r="E22" s="1"/>
      <c r="F22" s="1"/>
      <c r="G22" s="1"/>
      <c r="I22" s="1"/>
      <c r="J22" s="1"/>
      <c r="K22" s="1"/>
      <c r="L22" s="1"/>
      <c r="M22" s="1"/>
      <c r="N22" s="1"/>
      <c r="P22" s="1"/>
      <c r="Q22" s="1"/>
      <c r="R22" s="1"/>
      <c r="S22" s="1"/>
      <c r="T22" s="1"/>
      <c r="U22" s="1"/>
    </row>
    <row r="23" spans="1:21" x14ac:dyDescent="0.25">
      <c r="A23" t="s">
        <v>8</v>
      </c>
      <c r="B23" s="11">
        <v>0.438</v>
      </c>
      <c r="C23" s="1"/>
      <c r="D23" s="1"/>
      <c r="E23" s="1"/>
      <c r="F23" s="1"/>
      <c r="G23" s="1"/>
      <c r="I23" s="11">
        <v>0.39800000000000002</v>
      </c>
      <c r="J23" s="1"/>
      <c r="K23" s="1"/>
      <c r="L23" s="1"/>
      <c r="M23" s="1"/>
      <c r="N23" s="1"/>
      <c r="P23" s="4">
        <f>I23-B23</f>
        <v>-3.999999999999998E-2</v>
      </c>
      <c r="Q23" s="1"/>
      <c r="R23" s="1"/>
      <c r="S23" s="1"/>
      <c r="T23" s="1"/>
      <c r="U23" s="1"/>
    </row>
    <row r="27" spans="1:21" x14ac:dyDescent="0.25">
      <c r="B27" t="s">
        <v>16</v>
      </c>
    </row>
    <row r="28" spans="1:21" x14ac:dyDescent="0.25">
      <c r="E28" s="10" t="s">
        <v>18</v>
      </c>
      <c r="M28" s="10" t="s">
        <v>17</v>
      </c>
    </row>
    <row r="29" spans="1:21" x14ac:dyDescent="0.25">
      <c r="C29" s="2" t="s">
        <v>0</v>
      </c>
      <c r="D29" t="s">
        <v>2</v>
      </c>
      <c r="E29" t="s">
        <v>1</v>
      </c>
      <c r="F29" t="s">
        <v>3</v>
      </c>
      <c r="G29" t="s">
        <v>4</v>
      </c>
      <c r="H29" t="s">
        <v>5</v>
      </c>
      <c r="K29" s="1" t="s">
        <v>11</v>
      </c>
      <c r="L29" s="1" t="s">
        <v>12</v>
      </c>
      <c r="M29" s="1" t="s">
        <v>13</v>
      </c>
      <c r="N29" s="1" t="s">
        <v>14</v>
      </c>
      <c r="O29" s="1" t="s">
        <v>15</v>
      </c>
    </row>
    <row r="30" spans="1:21" x14ac:dyDescent="0.25">
      <c r="B30" s="2" t="s">
        <v>0</v>
      </c>
      <c r="C30" s="4">
        <v>0.98599999999999999</v>
      </c>
      <c r="D30" s="1">
        <v>0</v>
      </c>
      <c r="E30" s="1">
        <v>2E-3</v>
      </c>
      <c r="F30" s="1">
        <v>0</v>
      </c>
      <c r="G30" s="1">
        <v>2E-3</v>
      </c>
      <c r="H30" s="1">
        <v>0.01</v>
      </c>
      <c r="J30" s="1" t="s">
        <v>11</v>
      </c>
      <c r="K30" s="5">
        <v>0.97399999999999998</v>
      </c>
      <c r="L30" s="1">
        <v>0</v>
      </c>
      <c r="M30" s="1">
        <v>4.0000000000000001E-3</v>
      </c>
      <c r="N30" s="1">
        <v>0</v>
      </c>
      <c r="O30" s="1">
        <v>1.7999999999999999E-2</v>
      </c>
    </row>
    <row r="31" spans="1:21" x14ac:dyDescent="0.25">
      <c r="B31" t="s">
        <v>2</v>
      </c>
      <c r="C31" s="1">
        <v>0</v>
      </c>
      <c r="D31" s="4">
        <v>0.97999999999999987</v>
      </c>
      <c r="E31" s="1">
        <v>0.01</v>
      </c>
      <c r="F31" s="1">
        <v>4.0000000000000001E-3</v>
      </c>
      <c r="G31" s="1">
        <v>4.0000000000000001E-3</v>
      </c>
      <c r="H31" s="1">
        <v>4.0000000000000001E-3</v>
      </c>
      <c r="J31" s="1" t="s">
        <v>12</v>
      </c>
      <c r="K31" s="1">
        <v>0</v>
      </c>
      <c r="L31" s="5">
        <v>0.97599999999999976</v>
      </c>
      <c r="M31" s="1">
        <v>1.4000000000000002E-2</v>
      </c>
      <c r="N31" s="1">
        <v>0.01</v>
      </c>
      <c r="O31" s="1">
        <v>0</v>
      </c>
    </row>
    <row r="32" spans="1:21" x14ac:dyDescent="0.25">
      <c r="B32" t="s">
        <v>1</v>
      </c>
      <c r="C32" s="1">
        <v>2E-3</v>
      </c>
      <c r="D32" s="1">
        <v>0.01</v>
      </c>
      <c r="E32" s="4">
        <v>0.97</v>
      </c>
      <c r="F32" s="1">
        <v>0.01</v>
      </c>
      <c r="G32" s="1">
        <v>4.0000000000000001E-3</v>
      </c>
      <c r="H32" s="1">
        <v>0</v>
      </c>
      <c r="J32" s="1" t="s">
        <v>13</v>
      </c>
      <c r="K32" s="1">
        <v>2E-3</v>
      </c>
      <c r="L32" s="1">
        <v>1.9999999999999997E-2</v>
      </c>
      <c r="M32" s="5">
        <v>0.95599999999999985</v>
      </c>
      <c r="N32" s="1">
        <v>1.6E-2</v>
      </c>
      <c r="O32" s="1">
        <v>4.0000000000000001E-3</v>
      </c>
    </row>
    <row r="33" spans="2:15" x14ac:dyDescent="0.25">
      <c r="B33" t="s">
        <v>3</v>
      </c>
      <c r="C33" s="1">
        <v>8.2000000000000003E-2</v>
      </c>
      <c r="D33" s="1">
        <v>7.400000000000001E-2</v>
      </c>
      <c r="E33" s="1">
        <v>9.1999999999999998E-2</v>
      </c>
      <c r="F33" s="4">
        <v>0.68</v>
      </c>
      <c r="G33" s="1">
        <v>2.7999999999999997E-2</v>
      </c>
      <c r="H33" s="1">
        <v>4.5999999999999999E-2</v>
      </c>
      <c r="J33" s="1" t="s">
        <v>14</v>
      </c>
      <c r="K33" s="1">
        <v>7.3999999999999996E-2</v>
      </c>
      <c r="L33" s="1">
        <v>8.5999999999999993E-2</v>
      </c>
      <c r="M33" s="1">
        <v>8.6000000000000007E-2</v>
      </c>
      <c r="N33" s="5">
        <v>0.68599999999999994</v>
      </c>
      <c r="O33" s="1">
        <v>6.7999999999999991E-2</v>
      </c>
    </row>
    <row r="34" spans="2:15" x14ac:dyDescent="0.25">
      <c r="B34" t="s">
        <v>4</v>
      </c>
      <c r="C34" s="1">
        <v>0.11000000000000001</v>
      </c>
      <c r="D34" s="1">
        <v>0.14800000000000002</v>
      </c>
      <c r="E34" s="1">
        <v>0.14800000000000002</v>
      </c>
      <c r="F34" s="1">
        <v>0.122</v>
      </c>
      <c r="G34" s="4">
        <v>0.30399999999999999</v>
      </c>
      <c r="H34" s="1">
        <v>0.16800000000000001</v>
      </c>
      <c r="J34" s="1" t="s">
        <v>15</v>
      </c>
      <c r="K34" s="1">
        <v>0.03</v>
      </c>
      <c r="L34" s="1">
        <v>4.0000000000000001E-3</v>
      </c>
      <c r="M34" s="1">
        <v>2.1999999999999999E-2</v>
      </c>
      <c r="N34" s="1">
        <v>6.0000000000000001E-3</v>
      </c>
      <c r="O34" s="5">
        <v>0.93800000000000006</v>
      </c>
    </row>
    <row r="35" spans="2:15" x14ac:dyDescent="0.25">
      <c r="B35" t="s">
        <v>5</v>
      </c>
      <c r="C35" s="1">
        <v>3.2000000000000001E-2</v>
      </c>
      <c r="D35" s="1">
        <v>4.0000000000000001E-3</v>
      </c>
      <c r="E35" s="1">
        <v>1.6E-2</v>
      </c>
      <c r="F35" s="1">
        <v>2E-3</v>
      </c>
      <c r="G35" s="1">
        <v>6.0000000000000001E-3</v>
      </c>
      <c r="H35" s="4">
        <v>0.93399999999999994</v>
      </c>
      <c r="K35" s="1"/>
      <c r="L35" s="1"/>
      <c r="M35" s="1"/>
      <c r="N35" s="1"/>
      <c r="O35" s="1"/>
    </row>
    <row r="36" spans="2:15" x14ac:dyDescent="0.25">
      <c r="C36" s="1"/>
      <c r="K36" s="1"/>
      <c r="L36" s="1"/>
      <c r="M36" s="1"/>
      <c r="N36" s="1"/>
      <c r="O36" s="1"/>
    </row>
    <row r="37" spans="2:15" x14ac:dyDescent="0.25">
      <c r="C37" s="4">
        <v>0.80800000000000005</v>
      </c>
      <c r="K37" s="5">
        <v>0.90600000000000003</v>
      </c>
      <c r="L37" s="1"/>
      <c r="M37" s="1"/>
      <c r="N37" s="1"/>
      <c r="O37" s="1"/>
    </row>
    <row r="38" spans="2:15" x14ac:dyDescent="0.25">
      <c r="C38" s="2"/>
      <c r="K38" s="1"/>
      <c r="L38" s="1"/>
      <c r="M38" s="1"/>
      <c r="N38" s="1"/>
      <c r="O38" s="1"/>
    </row>
    <row r="39" spans="2:15" x14ac:dyDescent="0.25">
      <c r="C39" s="2"/>
      <c r="K39" s="1"/>
      <c r="L39" s="1"/>
      <c r="M39" s="1"/>
      <c r="N39" s="1"/>
      <c r="O39" s="1"/>
    </row>
    <row r="40" spans="2:15" x14ac:dyDescent="0.25">
      <c r="C40" s="2" t="s">
        <v>0</v>
      </c>
      <c r="D40" t="s">
        <v>2</v>
      </c>
      <c r="E40" t="s">
        <v>1</v>
      </c>
      <c r="F40" t="s">
        <v>3</v>
      </c>
      <c r="G40" t="s">
        <v>4</v>
      </c>
      <c r="H40" t="s">
        <v>5</v>
      </c>
      <c r="K40" s="1" t="s">
        <v>11</v>
      </c>
      <c r="L40" s="1" t="s">
        <v>12</v>
      </c>
      <c r="M40" s="1" t="s">
        <v>13</v>
      </c>
      <c r="N40" s="1" t="s">
        <v>14</v>
      </c>
      <c r="O40" s="1" t="s">
        <v>15</v>
      </c>
    </row>
    <row r="41" spans="2:15" x14ac:dyDescent="0.25">
      <c r="B41" s="2" t="s">
        <v>0</v>
      </c>
      <c r="C41" s="4">
        <v>0.64399999999999991</v>
      </c>
      <c r="D41" s="1">
        <v>1.2E-2</v>
      </c>
      <c r="E41" s="1">
        <v>6.7999999999999991E-2</v>
      </c>
      <c r="F41" s="1">
        <v>6.7999999999999991E-2</v>
      </c>
      <c r="G41" s="1">
        <v>0.06</v>
      </c>
      <c r="H41" s="1">
        <v>0.158</v>
      </c>
      <c r="J41" s="1" t="s">
        <v>11</v>
      </c>
      <c r="K41" s="5">
        <v>0.6379999999999999</v>
      </c>
      <c r="L41" s="1">
        <v>3.5999999999999997E-2</v>
      </c>
      <c r="M41" s="1">
        <v>5.6000000000000008E-2</v>
      </c>
      <c r="N41" s="1">
        <v>6.7999999999999991E-2</v>
      </c>
      <c r="O41" s="1">
        <v>0.20800000000000002</v>
      </c>
    </row>
    <row r="42" spans="2:15" x14ac:dyDescent="0.25">
      <c r="B42" t="s">
        <v>2</v>
      </c>
      <c r="C42" s="1">
        <v>0.02</v>
      </c>
      <c r="D42" s="4">
        <v>0.48799999999999988</v>
      </c>
      <c r="E42" s="1">
        <v>0.28000000000000003</v>
      </c>
      <c r="F42" s="1">
        <v>9.6000000000000002E-2</v>
      </c>
      <c r="G42" s="1">
        <v>6.4000000000000001E-2</v>
      </c>
      <c r="H42" s="1">
        <v>5.2000000000000005E-2</v>
      </c>
      <c r="J42" s="1" t="s">
        <v>12</v>
      </c>
      <c r="K42" s="1">
        <v>2.4E-2</v>
      </c>
      <c r="L42" s="5">
        <v>0.58200000000000007</v>
      </c>
      <c r="M42" s="1">
        <v>0.26599999999999996</v>
      </c>
      <c r="N42" s="1">
        <v>0.11200000000000002</v>
      </c>
      <c r="O42" s="1">
        <v>1.7999999999999999E-2</v>
      </c>
    </row>
    <row r="43" spans="2:15" x14ac:dyDescent="0.25">
      <c r="B43" t="s">
        <v>1</v>
      </c>
      <c r="C43" s="1">
        <v>7.8E-2</v>
      </c>
      <c r="D43" s="1">
        <v>0.188</v>
      </c>
      <c r="E43" s="4">
        <v>0.502</v>
      </c>
      <c r="F43" s="1">
        <v>0.15200000000000002</v>
      </c>
      <c r="G43" s="1">
        <v>4.5999999999999999E-2</v>
      </c>
      <c r="H43" s="1">
        <v>3.4000000000000002E-2</v>
      </c>
      <c r="J43" s="1" t="s">
        <v>13</v>
      </c>
      <c r="K43" s="1">
        <v>0.09</v>
      </c>
      <c r="L43" s="1">
        <v>0.33400000000000002</v>
      </c>
      <c r="M43" s="5">
        <v>0.40600000000000003</v>
      </c>
      <c r="N43" s="1">
        <v>0.13200000000000001</v>
      </c>
      <c r="O43" s="1">
        <v>3.7999999999999999E-2</v>
      </c>
    </row>
    <row r="44" spans="2:15" x14ac:dyDescent="0.25">
      <c r="B44" t="s">
        <v>3</v>
      </c>
      <c r="C44" s="1">
        <v>0.13</v>
      </c>
      <c r="D44" s="1">
        <v>0.13400000000000001</v>
      </c>
      <c r="E44" s="1">
        <v>0.11800000000000002</v>
      </c>
      <c r="F44" s="4">
        <v>0.47200000000000009</v>
      </c>
      <c r="G44" s="1">
        <v>5.4000000000000006E-2</v>
      </c>
      <c r="H44" s="1">
        <v>9.1999999999999998E-2</v>
      </c>
      <c r="J44" s="1" t="s">
        <v>14</v>
      </c>
      <c r="K44" s="1">
        <v>0.09</v>
      </c>
      <c r="L44" s="1">
        <v>0.13799999999999998</v>
      </c>
      <c r="M44" s="1">
        <v>0.13</v>
      </c>
      <c r="N44" s="5">
        <v>0.54200000000000004</v>
      </c>
      <c r="O44" s="1">
        <v>0.10200000000000001</v>
      </c>
    </row>
    <row r="45" spans="2:15" x14ac:dyDescent="0.25">
      <c r="B45" t="s">
        <v>4</v>
      </c>
      <c r="C45" s="1">
        <v>0.13200000000000001</v>
      </c>
      <c r="D45" s="1">
        <v>0.20600000000000002</v>
      </c>
      <c r="E45" s="1">
        <v>0.15999999999999998</v>
      </c>
      <c r="F45" s="1">
        <v>0.188</v>
      </c>
      <c r="G45" s="4">
        <v>6.9999999999999993E-2</v>
      </c>
      <c r="H45" s="1">
        <v>0.25</v>
      </c>
      <c r="J45" s="1" t="s">
        <v>15</v>
      </c>
      <c r="K45" s="1">
        <v>0.21799999999999997</v>
      </c>
      <c r="L45" s="1">
        <v>6.0000000000000012E-2</v>
      </c>
      <c r="M45" s="1">
        <v>0.122</v>
      </c>
      <c r="N45" s="1">
        <v>0.09</v>
      </c>
      <c r="O45" s="5">
        <v>0.51400000000000001</v>
      </c>
    </row>
    <row r="46" spans="2:15" x14ac:dyDescent="0.25">
      <c r="B46" t="s">
        <v>5</v>
      </c>
      <c r="C46" s="1">
        <v>0.20800000000000002</v>
      </c>
      <c r="D46" s="1">
        <v>0.03</v>
      </c>
      <c r="E46" s="1">
        <v>0.128</v>
      </c>
      <c r="F46" s="1">
        <v>8.2000000000000003E-2</v>
      </c>
      <c r="G46" s="1">
        <v>0.10600000000000001</v>
      </c>
      <c r="H46" s="4">
        <v>0.45199999999999996</v>
      </c>
    </row>
    <row r="47" spans="2:15" x14ac:dyDescent="0.25">
      <c r="C47" s="2"/>
    </row>
    <row r="48" spans="2:15" x14ac:dyDescent="0.25">
      <c r="C48" s="4">
        <v>0.43600000000000005</v>
      </c>
      <c r="D48" s="9"/>
      <c r="K48" s="5">
        <v>0.53800000000000003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DB034-0BA3-4867-8853-C4AE79546FC4}">
  <dimension ref="A4:AP23"/>
  <sheetViews>
    <sheetView workbookViewId="0">
      <selection activeCell="A15" sqref="A15:G2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0.92599999999999993</v>
      </c>
      <c r="C5" s="1">
        <f t="shared" ref="C5:G5" si="0">AVERAGE(J5,Q5,X5,AE5,AL5)</f>
        <v>1.4000000000000002E-2</v>
      </c>
      <c r="D5" s="1">
        <f t="shared" si="0"/>
        <v>4.0000000000000001E-3</v>
      </c>
      <c r="E5" s="1">
        <f t="shared" si="0"/>
        <v>6.0000000000000001E-3</v>
      </c>
      <c r="F5" s="1">
        <f t="shared" si="0"/>
        <v>1.6E-2</v>
      </c>
      <c r="G5" s="1">
        <f t="shared" si="0"/>
        <v>2.8000000000000004E-2</v>
      </c>
      <c r="I5">
        <v>0.94</v>
      </c>
      <c r="J5">
        <v>0</v>
      </c>
      <c r="K5">
        <v>0.01</v>
      </c>
      <c r="L5">
        <v>0.01</v>
      </c>
      <c r="M5">
        <v>0.01</v>
      </c>
      <c r="N5">
        <v>0.01</v>
      </c>
      <c r="P5">
        <v>0.92</v>
      </c>
      <c r="Q5">
        <v>0.03</v>
      </c>
      <c r="R5">
        <v>0.01</v>
      </c>
      <c r="S5">
        <v>0.01</v>
      </c>
      <c r="T5">
        <v>0</v>
      </c>
      <c r="U5">
        <v>0.03</v>
      </c>
      <c r="W5">
        <v>0.9</v>
      </c>
      <c r="X5">
        <v>0.01</v>
      </c>
      <c r="Y5">
        <v>0</v>
      </c>
      <c r="Z5">
        <v>0</v>
      </c>
      <c r="AA5">
        <v>0.04</v>
      </c>
      <c r="AB5">
        <v>0.04</v>
      </c>
      <c r="AD5">
        <v>0.93</v>
      </c>
      <c r="AE5">
        <v>0</v>
      </c>
      <c r="AF5">
        <v>0</v>
      </c>
      <c r="AG5">
        <v>0.01</v>
      </c>
      <c r="AH5">
        <v>0.03</v>
      </c>
      <c r="AI5">
        <v>0.03</v>
      </c>
      <c r="AK5">
        <v>0.94</v>
      </c>
      <c r="AL5">
        <v>0.03</v>
      </c>
      <c r="AM5">
        <v>0</v>
      </c>
      <c r="AN5">
        <v>0</v>
      </c>
      <c r="AO5">
        <v>0</v>
      </c>
      <c r="AP5">
        <v>0.03</v>
      </c>
    </row>
    <row r="6" spans="1:42" x14ac:dyDescent="0.25">
      <c r="A6" t="s">
        <v>2</v>
      </c>
      <c r="B6" s="1">
        <f t="shared" ref="B6:B12" si="1">AVERAGE(I6,P6,W6,AD6,AK6)</f>
        <v>1.2E-2</v>
      </c>
      <c r="C6" s="11">
        <f>AVERAGE(J6,Q6,X6,AE6,AL6)</f>
        <v>0.8859999999999999</v>
      </c>
      <c r="D6" s="1">
        <f t="shared" ref="D6:D10" si="2">AVERAGE(K6,R6,Y6,AF6,AM6)</f>
        <v>1.4000000000000002E-2</v>
      </c>
      <c r="E6" s="1">
        <f t="shared" ref="E6:E10" si="3">AVERAGE(L6,S6,Z6,AG6,AN6)</f>
        <v>3.7999999999999999E-2</v>
      </c>
      <c r="F6" s="1">
        <f t="shared" ref="F6:F10" si="4">AVERAGE(M6,T6,AA6,AH6,AO6)</f>
        <v>3.5999999999999997E-2</v>
      </c>
      <c r="G6" s="1">
        <f t="shared" ref="G6:G10" si="5">AVERAGE(N6,U6,AB6,AI6,AP6)</f>
        <v>2.1999999999999999E-2</v>
      </c>
      <c r="I6">
        <v>0.02</v>
      </c>
      <c r="J6">
        <v>0.92</v>
      </c>
      <c r="K6">
        <v>0.02</v>
      </c>
      <c r="L6">
        <v>0.02</v>
      </c>
      <c r="M6">
        <v>0.03</v>
      </c>
      <c r="N6">
        <v>0</v>
      </c>
      <c r="P6">
        <v>0</v>
      </c>
      <c r="Q6">
        <v>0.88</v>
      </c>
      <c r="R6">
        <v>0</v>
      </c>
      <c r="S6">
        <v>0.05</v>
      </c>
      <c r="T6">
        <v>0.05</v>
      </c>
      <c r="U6">
        <v>0.02</v>
      </c>
      <c r="W6">
        <v>0.02</v>
      </c>
      <c r="X6">
        <v>0.9</v>
      </c>
      <c r="Y6">
        <v>0</v>
      </c>
      <c r="Z6">
        <v>0.03</v>
      </c>
      <c r="AA6">
        <v>0.03</v>
      </c>
      <c r="AB6">
        <v>0.02</v>
      </c>
      <c r="AD6">
        <v>0.02</v>
      </c>
      <c r="AE6">
        <v>0.84</v>
      </c>
      <c r="AF6">
        <v>0.02</v>
      </c>
      <c r="AG6">
        <v>7.0000000000000007E-2</v>
      </c>
      <c r="AH6">
        <v>0.02</v>
      </c>
      <c r="AI6">
        <v>0.05</v>
      </c>
      <c r="AK6">
        <v>0</v>
      </c>
      <c r="AL6">
        <v>0.89</v>
      </c>
      <c r="AM6">
        <v>0.03</v>
      </c>
      <c r="AN6">
        <v>0.02</v>
      </c>
      <c r="AO6">
        <v>0.05</v>
      </c>
      <c r="AP6">
        <v>0.02</v>
      </c>
    </row>
    <row r="7" spans="1:42" x14ac:dyDescent="0.25">
      <c r="A7" t="s">
        <v>1</v>
      </c>
      <c r="B7" s="1">
        <f t="shared" si="1"/>
        <v>1.2E-2</v>
      </c>
      <c r="C7" s="1">
        <f t="shared" ref="C6:C10" si="6">AVERAGE(J7,Q7,X7,AE7,AL7)</f>
        <v>0.17400000000000002</v>
      </c>
      <c r="D7" s="11">
        <f>AVERAGE(K7,R7,Y7,AF7,AM7)</f>
        <v>0.7</v>
      </c>
      <c r="E7" s="1">
        <f t="shared" si="3"/>
        <v>8.0000000000000002E-3</v>
      </c>
      <c r="F7" s="1">
        <f t="shared" si="4"/>
        <v>2.4E-2</v>
      </c>
      <c r="G7" s="1">
        <f t="shared" si="5"/>
        <v>7.9999999999999988E-2</v>
      </c>
      <c r="I7">
        <v>0.01</v>
      </c>
      <c r="J7">
        <v>0.21</v>
      </c>
      <c r="K7">
        <v>0.68</v>
      </c>
      <c r="L7">
        <v>0</v>
      </c>
      <c r="M7">
        <v>0.03</v>
      </c>
      <c r="N7">
        <v>7.0000000000000007E-2</v>
      </c>
      <c r="P7">
        <v>0.01</v>
      </c>
      <c r="Q7">
        <v>0.15</v>
      </c>
      <c r="R7">
        <v>0.72</v>
      </c>
      <c r="S7">
        <v>0.01</v>
      </c>
      <c r="T7">
        <v>0.01</v>
      </c>
      <c r="U7">
        <v>0.09</v>
      </c>
      <c r="W7">
        <v>0</v>
      </c>
      <c r="X7">
        <v>0.17</v>
      </c>
      <c r="Y7">
        <v>0.71</v>
      </c>
      <c r="Z7">
        <v>0.03</v>
      </c>
      <c r="AA7">
        <v>0.01</v>
      </c>
      <c r="AB7">
        <v>0.08</v>
      </c>
      <c r="AD7">
        <v>0.03</v>
      </c>
      <c r="AE7">
        <v>0.17</v>
      </c>
      <c r="AF7">
        <v>0.72</v>
      </c>
      <c r="AG7">
        <v>0</v>
      </c>
      <c r="AH7">
        <v>0.04</v>
      </c>
      <c r="AI7">
        <v>0.04</v>
      </c>
      <c r="AK7">
        <v>0.01</v>
      </c>
      <c r="AL7">
        <v>0.17</v>
      </c>
      <c r="AM7">
        <v>0.67</v>
      </c>
      <c r="AN7">
        <v>0</v>
      </c>
      <c r="AO7">
        <v>0.03</v>
      </c>
      <c r="AP7">
        <v>0.12</v>
      </c>
    </row>
    <row r="8" spans="1:42" x14ac:dyDescent="0.25">
      <c r="A8" t="s">
        <v>3</v>
      </c>
      <c r="B8" s="1">
        <f t="shared" si="1"/>
        <v>0.24199999999999999</v>
      </c>
      <c r="C8" s="1">
        <f t="shared" si="6"/>
        <v>0.10600000000000001</v>
      </c>
      <c r="D8" s="1">
        <f t="shared" si="2"/>
        <v>0.08</v>
      </c>
      <c r="E8" s="11">
        <f>AVERAGE(L8,S8,Z8,AG8,AN8)</f>
        <v>0.43200000000000005</v>
      </c>
      <c r="F8" s="1">
        <f t="shared" si="4"/>
        <v>1.6E-2</v>
      </c>
      <c r="G8" s="1">
        <f t="shared" si="5"/>
        <v>0.126</v>
      </c>
      <c r="I8">
        <v>0.25</v>
      </c>
      <c r="J8">
        <v>0.08</v>
      </c>
      <c r="K8">
        <v>0.06</v>
      </c>
      <c r="L8">
        <v>0.45</v>
      </c>
      <c r="M8">
        <v>0.03</v>
      </c>
      <c r="N8">
        <v>0.14000000000000001</v>
      </c>
      <c r="P8">
        <v>0.21</v>
      </c>
      <c r="Q8">
        <v>0.12</v>
      </c>
      <c r="R8">
        <v>0.09</v>
      </c>
      <c r="S8">
        <v>0.44</v>
      </c>
      <c r="T8">
        <v>0.01</v>
      </c>
      <c r="U8">
        <v>0.13</v>
      </c>
      <c r="W8">
        <v>0.23</v>
      </c>
      <c r="X8">
        <v>0.11</v>
      </c>
      <c r="Y8">
        <v>0.08</v>
      </c>
      <c r="Z8">
        <v>0.45</v>
      </c>
      <c r="AA8">
        <v>0.01</v>
      </c>
      <c r="AB8">
        <v>0.12</v>
      </c>
      <c r="AD8">
        <v>0.26</v>
      </c>
      <c r="AE8">
        <v>0.1</v>
      </c>
      <c r="AF8">
        <v>7.0000000000000007E-2</v>
      </c>
      <c r="AG8">
        <v>0.43</v>
      </c>
      <c r="AH8">
        <v>0.02</v>
      </c>
      <c r="AI8">
        <v>0.12</v>
      </c>
      <c r="AK8">
        <v>0.26</v>
      </c>
      <c r="AL8">
        <v>0.12</v>
      </c>
      <c r="AM8">
        <v>0.1</v>
      </c>
      <c r="AN8">
        <v>0.39</v>
      </c>
      <c r="AO8">
        <v>0.01</v>
      </c>
      <c r="AP8">
        <v>0.12</v>
      </c>
    </row>
    <row r="9" spans="1:42" x14ac:dyDescent="0.25">
      <c r="A9" t="s">
        <v>4</v>
      </c>
      <c r="B9" s="1">
        <f t="shared" si="1"/>
        <v>0.14200000000000002</v>
      </c>
      <c r="C9" s="1">
        <f t="shared" si="6"/>
        <v>0.29400000000000004</v>
      </c>
      <c r="D9" s="1">
        <f t="shared" si="2"/>
        <v>0.11400000000000002</v>
      </c>
      <c r="E9" s="1">
        <f t="shared" si="3"/>
        <v>5.4000000000000006E-2</v>
      </c>
      <c r="F9" s="11">
        <f>AVERAGE(M9,T9,AA9,AH9,AO9)</f>
        <v>0.22599999999999998</v>
      </c>
      <c r="G9" s="1">
        <f t="shared" si="5"/>
        <v>0.17200000000000001</v>
      </c>
      <c r="I9">
        <v>0.15</v>
      </c>
      <c r="J9">
        <v>0.28000000000000003</v>
      </c>
      <c r="K9">
        <v>7.0000000000000007E-2</v>
      </c>
      <c r="L9">
        <v>0.04</v>
      </c>
      <c r="M9">
        <v>0.28000000000000003</v>
      </c>
      <c r="N9">
        <v>0.17</v>
      </c>
      <c r="P9">
        <v>0.13</v>
      </c>
      <c r="Q9">
        <v>0.28000000000000003</v>
      </c>
      <c r="R9">
        <v>0.14000000000000001</v>
      </c>
      <c r="S9">
        <v>7.0000000000000007E-2</v>
      </c>
      <c r="T9">
        <v>0.22</v>
      </c>
      <c r="U9">
        <v>0.16</v>
      </c>
      <c r="W9">
        <v>0.17</v>
      </c>
      <c r="X9">
        <v>0.28999999999999998</v>
      </c>
      <c r="Y9">
        <v>0.12</v>
      </c>
      <c r="Z9">
        <v>0.06</v>
      </c>
      <c r="AA9">
        <v>0.2</v>
      </c>
      <c r="AB9">
        <v>0.17</v>
      </c>
      <c r="AD9">
        <v>0.1</v>
      </c>
      <c r="AE9">
        <v>0.31</v>
      </c>
      <c r="AF9">
        <v>0.13</v>
      </c>
      <c r="AG9">
        <v>0.06</v>
      </c>
      <c r="AH9">
        <v>0.24</v>
      </c>
      <c r="AI9">
        <v>0.16</v>
      </c>
      <c r="AK9">
        <v>0.16</v>
      </c>
      <c r="AL9">
        <v>0.31</v>
      </c>
      <c r="AM9">
        <v>0.11</v>
      </c>
      <c r="AN9">
        <v>0.04</v>
      </c>
      <c r="AO9">
        <v>0.19</v>
      </c>
      <c r="AP9">
        <v>0.2</v>
      </c>
    </row>
    <row r="10" spans="1:42" x14ac:dyDescent="0.25">
      <c r="A10" t="s">
        <v>5</v>
      </c>
      <c r="B10" s="1">
        <f t="shared" si="1"/>
        <v>0.13400000000000001</v>
      </c>
      <c r="C10" s="1">
        <f t="shared" si="6"/>
        <v>2E-3</v>
      </c>
      <c r="D10" s="1">
        <f t="shared" si="2"/>
        <v>1.2E-2</v>
      </c>
      <c r="E10" s="1">
        <f t="shared" si="3"/>
        <v>2.4E-2</v>
      </c>
      <c r="F10" s="1">
        <f t="shared" si="4"/>
        <v>1.6E-2</v>
      </c>
      <c r="G10" s="11">
        <f>AVERAGE(N10,U10,AB10,AI10,AP10)</f>
        <v>0.80999999999999994</v>
      </c>
      <c r="I10">
        <v>0.14000000000000001</v>
      </c>
      <c r="J10">
        <v>0.01</v>
      </c>
      <c r="K10">
        <v>0.01</v>
      </c>
      <c r="L10">
        <v>0.01</v>
      </c>
      <c r="M10">
        <v>0.01</v>
      </c>
      <c r="N10">
        <v>0.82</v>
      </c>
      <c r="P10">
        <v>0.14000000000000001</v>
      </c>
      <c r="Q10">
        <v>0</v>
      </c>
      <c r="R10">
        <v>0.01</v>
      </c>
      <c r="S10">
        <v>0.05</v>
      </c>
      <c r="T10">
        <v>0</v>
      </c>
      <c r="U10">
        <v>0.81</v>
      </c>
      <c r="W10">
        <v>0.09</v>
      </c>
      <c r="X10">
        <v>0</v>
      </c>
      <c r="Y10">
        <v>0.02</v>
      </c>
      <c r="Z10">
        <v>0.02</v>
      </c>
      <c r="AA10">
        <v>0.02</v>
      </c>
      <c r="AB10">
        <v>0.84</v>
      </c>
      <c r="AD10">
        <v>0.14000000000000001</v>
      </c>
      <c r="AE10">
        <v>0</v>
      </c>
      <c r="AF10">
        <v>0.01</v>
      </c>
      <c r="AG10">
        <v>0.03</v>
      </c>
      <c r="AH10">
        <v>0.02</v>
      </c>
      <c r="AI10">
        <v>0.8</v>
      </c>
      <c r="AK10">
        <v>0.16</v>
      </c>
      <c r="AL10">
        <v>0</v>
      </c>
      <c r="AM10">
        <v>0.01</v>
      </c>
      <c r="AN10">
        <v>0.01</v>
      </c>
      <c r="AO10">
        <v>0.03</v>
      </c>
      <c r="AP10">
        <v>0.78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0.66400000000000003</v>
      </c>
      <c r="C12" s="1"/>
      <c r="D12" s="1"/>
      <c r="E12" s="1"/>
      <c r="F12" s="1"/>
      <c r="G12" s="1"/>
      <c r="I12">
        <v>0.68</v>
      </c>
      <c r="J12">
        <v>935</v>
      </c>
      <c r="P12">
        <v>0.67</v>
      </c>
      <c r="Q12">
        <v>931</v>
      </c>
      <c r="W12">
        <v>0.67</v>
      </c>
      <c r="X12">
        <v>932</v>
      </c>
      <c r="AD12">
        <v>0.66</v>
      </c>
      <c r="AE12">
        <v>933</v>
      </c>
      <c r="AK12">
        <v>0.64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0.84000000000000008</v>
      </c>
      <c r="C16" s="1">
        <f t="shared" ref="C16:C21" si="7">AVERAGE(J16,Q16,X16,AE16,AL16)</f>
        <v>0</v>
      </c>
      <c r="D16" s="1">
        <f t="shared" ref="D16:D21" si="8">AVERAGE(K16,R16,Y16,AF16,AM16)</f>
        <v>1.2E-2</v>
      </c>
      <c r="E16" s="1">
        <f t="shared" ref="E16:E21" si="9">AVERAGE(L16,S16,Z16,AG16,AN16)</f>
        <v>3.3999999999999996E-2</v>
      </c>
      <c r="F16" s="1">
        <f t="shared" ref="F16:F21" si="10">AVERAGE(M16,T16,AA16,AH16,AO16)</f>
        <v>4.5999999999999999E-2</v>
      </c>
      <c r="G16" s="1">
        <f t="shared" ref="G16:G21" si="11">AVERAGE(N16,U16,AB16,AI16,AP16)</f>
        <v>6.9999999999999993E-2</v>
      </c>
      <c r="I16">
        <v>0.88</v>
      </c>
      <c r="J16">
        <v>0</v>
      </c>
      <c r="K16">
        <v>0</v>
      </c>
      <c r="L16">
        <v>0</v>
      </c>
      <c r="M16">
        <v>0</v>
      </c>
      <c r="N16">
        <v>0.12</v>
      </c>
      <c r="P16">
        <v>0.94</v>
      </c>
      <c r="Q16">
        <v>0</v>
      </c>
      <c r="R16">
        <v>0</v>
      </c>
      <c r="S16">
        <v>0</v>
      </c>
      <c r="T16">
        <v>0</v>
      </c>
      <c r="U16">
        <v>0.06</v>
      </c>
      <c r="W16">
        <v>0.83</v>
      </c>
      <c r="X16">
        <v>0</v>
      </c>
      <c r="Y16">
        <v>0</v>
      </c>
      <c r="Z16">
        <v>0.11</v>
      </c>
      <c r="AA16">
        <v>0.06</v>
      </c>
      <c r="AB16">
        <v>0</v>
      </c>
      <c r="AD16">
        <v>0.72</v>
      </c>
      <c r="AE16">
        <v>0</v>
      </c>
      <c r="AF16">
        <v>0</v>
      </c>
      <c r="AG16">
        <v>0.06</v>
      </c>
      <c r="AH16">
        <v>0.17</v>
      </c>
      <c r="AI16">
        <v>0.06</v>
      </c>
      <c r="AK16">
        <v>0.83</v>
      </c>
      <c r="AL16">
        <v>0</v>
      </c>
      <c r="AM16">
        <v>0.06</v>
      </c>
      <c r="AN16">
        <v>0</v>
      </c>
      <c r="AO16">
        <v>0</v>
      </c>
      <c r="AP16">
        <v>0.11</v>
      </c>
    </row>
    <row r="17" spans="1:42" x14ac:dyDescent="0.25">
      <c r="A17" t="s">
        <v>2</v>
      </c>
      <c r="B17" s="1">
        <f t="shared" ref="B17:B23" si="12">AVERAGE(I17,P17,W17,AD17,AK17)</f>
        <v>6.6000000000000003E-2</v>
      </c>
      <c r="C17" s="11">
        <f>AVERAGE(J17,Q17,X17,AE17,AL17)</f>
        <v>0.72200000000000009</v>
      </c>
      <c r="D17" s="1">
        <f t="shared" si="8"/>
        <v>2.8000000000000004E-2</v>
      </c>
      <c r="E17" s="1">
        <f t="shared" si="9"/>
        <v>6.6000000000000003E-2</v>
      </c>
      <c r="F17" s="1">
        <f t="shared" si="10"/>
        <v>0.08</v>
      </c>
      <c r="G17" s="1">
        <f t="shared" si="11"/>
        <v>4.2000000000000003E-2</v>
      </c>
      <c r="I17">
        <v>7.0000000000000007E-2</v>
      </c>
      <c r="J17">
        <v>0.6</v>
      </c>
      <c r="K17">
        <v>7.0000000000000007E-2</v>
      </c>
      <c r="L17">
        <v>0</v>
      </c>
      <c r="M17">
        <v>0.2</v>
      </c>
      <c r="N17">
        <v>7.0000000000000007E-2</v>
      </c>
      <c r="P17">
        <v>0.13</v>
      </c>
      <c r="Q17">
        <v>0.75</v>
      </c>
      <c r="R17">
        <v>0</v>
      </c>
      <c r="S17">
        <v>0.06</v>
      </c>
      <c r="T17">
        <v>0.06</v>
      </c>
      <c r="U17">
        <v>0</v>
      </c>
      <c r="W17">
        <v>0</v>
      </c>
      <c r="X17">
        <v>0.8</v>
      </c>
      <c r="Y17">
        <v>7.0000000000000007E-2</v>
      </c>
      <c r="Z17">
        <v>0</v>
      </c>
      <c r="AA17">
        <v>7.0000000000000007E-2</v>
      </c>
      <c r="AB17">
        <v>7.0000000000000007E-2</v>
      </c>
      <c r="AD17">
        <v>0</v>
      </c>
      <c r="AE17">
        <v>0.73</v>
      </c>
      <c r="AF17">
        <v>0</v>
      </c>
      <c r="AG17">
        <v>0.2</v>
      </c>
      <c r="AH17">
        <v>0</v>
      </c>
      <c r="AI17">
        <v>7.0000000000000007E-2</v>
      </c>
      <c r="AK17">
        <v>0.13</v>
      </c>
      <c r="AL17">
        <v>0.73</v>
      </c>
      <c r="AM17">
        <v>0</v>
      </c>
      <c r="AN17">
        <v>7.0000000000000007E-2</v>
      </c>
      <c r="AO17">
        <v>7.0000000000000007E-2</v>
      </c>
      <c r="AP17">
        <v>0</v>
      </c>
    </row>
    <row r="18" spans="1:42" x14ac:dyDescent="0.25">
      <c r="A18" t="s">
        <v>1</v>
      </c>
      <c r="B18" s="1">
        <f t="shared" si="12"/>
        <v>3.2000000000000001E-2</v>
      </c>
      <c r="C18" s="1">
        <f t="shared" si="7"/>
        <v>0.29799999999999999</v>
      </c>
      <c r="D18" s="11">
        <f>AVERAGE(K18,R18,Y18,AF18,AM18)</f>
        <v>0.42599999999999999</v>
      </c>
      <c r="E18" s="1">
        <f t="shared" si="9"/>
        <v>0.01</v>
      </c>
      <c r="F18" s="1">
        <f t="shared" si="10"/>
        <v>6.4000000000000001E-2</v>
      </c>
      <c r="G18" s="1">
        <f t="shared" si="11"/>
        <v>0.17</v>
      </c>
      <c r="I18">
        <v>0</v>
      </c>
      <c r="J18">
        <v>0.33</v>
      </c>
      <c r="K18">
        <v>0.39</v>
      </c>
      <c r="L18">
        <v>0</v>
      </c>
      <c r="M18">
        <v>0.17</v>
      </c>
      <c r="N18">
        <v>0.11</v>
      </c>
      <c r="P18">
        <v>0</v>
      </c>
      <c r="Q18">
        <v>0.32</v>
      </c>
      <c r="R18">
        <v>0.42</v>
      </c>
      <c r="S18">
        <v>0</v>
      </c>
      <c r="T18">
        <v>0.05</v>
      </c>
      <c r="U18">
        <v>0.21</v>
      </c>
      <c r="W18">
        <v>0.05</v>
      </c>
      <c r="X18">
        <v>0.37</v>
      </c>
      <c r="Y18">
        <v>0.53</v>
      </c>
      <c r="Z18">
        <v>0</v>
      </c>
      <c r="AA18">
        <v>0.05</v>
      </c>
      <c r="AB18">
        <v>0</v>
      </c>
      <c r="AD18">
        <v>0</v>
      </c>
      <c r="AE18">
        <v>0.21</v>
      </c>
      <c r="AF18">
        <v>0.53</v>
      </c>
      <c r="AG18">
        <v>0</v>
      </c>
      <c r="AH18">
        <v>0.05</v>
      </c>
      <c r="AI18">
        <v>0.21</v>
      </c>
      <c r="AK18">
        <v>0.11</v>
      </c>
      <c r="AL18">
        <v>0.26</v>
      </c>
      <c r="AM18">
        <v>0.26</v>
      </c>
      <c r="AN18">
        <v>0.05</v>
      </c>
      <c r="AO18">
        <v>0</v>
      </c>
      <c r="AP18">
        <v>0.32</v>
      </c>
    </row>
    <row r="19" spans="1:42" x14ac:dyDescent="0.25">
      <c r="A19" t="s">
        <v>3</v>
      </c>
      <c r="B19" s="1">
        <f t="shared" si="12"/>
        <v>0.26600000000000001</v>
      </c>
      <c r="C19" s="1">
        <f t="shared" si="7"/>
        <v>0.11800000000000002</v>
      </c>
      <c r="D19" s="1">
        <f t="shared" si="8"/>
        <v>9.6000000000000002E-2</v>
      </c>
      <c r="E19" s="11">
        <f>AVERAGE(L19,S19,Z19,AG19,AN19)</f>
        <v>0.35399999999999998</v>
      </c>
      <c r="F19" s="1">
        <f t="shared" si="10"/>
        <v>1.9999999999999997E-2</v>
      </c>
      <c r="G19" s="1">
        <f t="shared" si="11"/>
        <v>0.14199999999999999</v>
      </c>
      <c r="I19">
        <v>0.35</v>
      </c>
      <c r="J19">
        <v>7.0000000000000007E-2</v>
      </c>
      <c r="K19">
        <v>7.0000000000000007E-2</v>
      </c>
      <c r="L19">
        <v>0.34</v>
      </c>
      <c r="M19">
        <v>0.01</v>
      </c>
      <c r="N19">
        <v>0.15</v>
      </c>
      <c r="P19">
        <v>0.28000000000000003</v>
      </c>
      <c r="Q19">
        <v>0.14000000000000001</v>
      </c>
      <c r="R19">
        <v>0.08</v>
      </c>
      <c r="S19">
        <v>0.41</v>
      </c>
      <c r="T19">
        <v>0.01</v>
      </c>
      <c r="U19">
        <v>0.08</v>
      </c>
      <c r="W19">
        <v>0.28000000000000003</v>
      </c>
      <c r="X19">
        <v>0.1</v>
      </c>
      <c r="Y19">
        <v>0.08</v>
      </c>
      <c r="Z19">
        <v>0.28999999999999998</v>
      </c>
      <c r="AA19">
        <v>0.03</v>
      </c>
      <c r="AB19">
        <v>0.21</v>
      </c>
      <c r="AD19">
        <v>0.2</v>
      </c>
      <c r="AE19">
        <v>0.12</v>
      </c>
      <c r="AF19">
        <v>7.0000000000000007E-2</v>
      </c>
      <c r="AG19">
        <v>0.41</v>
      </c>
      <c r="AH19">
        <v>0.04</v>
      </c>
      <c r="AI19">
        <v>0.16</v>
      </c>
      <c r="AK19">
        <v>0.22</v>
      </c>
      <c r="AL19">
        <v>0.16</v>
      </c>
      <c r="AM19">
        <v>0.18</v>
      </c>
      <c r="AN19">
        <v>0.32</v>
      </c>
      <c r="AO19">
        <v>0.01</v>
      </c>
      <c r="AP19">
        <v>0.11</v>
      </c>
    </row>
    <row r="20" spans="1:42" x14ac:dyDescent="0.25">
      <c r="A20" t="s">
        <v>4</v>
      </c>
      <c r="B20" s="1">
        <f t="shared" si="12"/>
        <v>0.16799999999999998</v>
      </c>
      <c r="C20" s="1">
        <f t="shared" si="7"/>
        <v>0.29399999999999998</v>
      </c>
      <c r="D20" s="1">
        <f t="shared" si="8"/>
        <v>0.16200000000000001</v>
      </c>
      <c r="E20" s="1">
        <f t="shared" si="9"/>
        <v>0.04</v>
      </c>
      <c r="F20" s="11">
        <f>AVERAGE(M20,T20,AA20,AH20,AO20)</f>
        <v>0.17399999999999999</v>
      </c>
      <c r="G20" s="1">
        <f t="shared" si="11"/>
        <v>0.16800000000000001</v>
      </c>
      <c r="I20">
        <v>0.14000000000000001</v>
      </c>
      <c r="J20">
        <v>0.24</v>
      </c>
      <c r="K20">
        <v>0.18</v>
      </c>
      <c r="L20">
        <v>0.04</v>
      </c>
      <c r="M20">
        <v>0.22</v>
      </c>
      <c r="N20">
        <v>0.19</v>
      </c>
      <c r="P20">
        <v>0.18</v>
      </c>
      <c r="Q20">
        <v>0.35</v>
      </c>
      <c r="R20">
        <v>0.18</v>
      </c>
      <c r="S20">
        <v>0.01</v>
      </c>
      <c r="T20">
        <v>0.11</v>
      </c>
      <c r="U20">
        <v>0.18</v>
      </c>
      <c r="W20">
        <v>0.11</v>
      </c>
      <c r="X20">
        <v>0.34</v>
      </c>
      <c r="Y20">
        <v>0.12</v>
      </c>
      <c r="Z20">
        <v>0.05</v>
      </c>
      <c r="AA20">
        <v>0.23</v>
      </c>
      <c r="AB20">
        <v>0.15</v>
      </c>
      <c r="AD20">
        <v>0.26</v>
      </c>
      <c r="AE20">
        <v>0.2</v>
      </c>
      <c r="AF20">
        <v>0.15</v>
      </c>
      <c r="AG20">
        <v>0.05</v>
      </c>
      <c r="AH20">
        <v>0.2</v>
      </c>
      <c r="AI20">
        <v>0.14000000000000001</v>
      </c>
      <c r="AK20">
        <v>0.15</v>
      </c>
      <c r="AL20">
        <v>0.34</v>
      </c>
      <c r="AM20">
        <v>0.18</v>
      </c>
      <c r="AN20">
        <v>0.05</v>
      </c>
      <c r="AO20">
        <v>0.11</v>
      </c>
      <c r="AP20">
        <v>0.18</v>
      </c>
    </row>
    <row r="21" spans="1:42" x14ac:dyDescent="0.25">
      <c r="A21" t="s">
        <v>5</v>
      </c>
      <c r="B21" s="1">
        <f t="shared" si="12"/>
        <v>0.15399999999999997</v>
      </c>
      <c r="C21" s="1">
        <f t="shared" si="7"/>
        <v>1.7999999999999999E-2</v>
      </c>
      <c r="D21" s="1">
        <f t="shared" si="8"/>
        <v>7.3999999999999996E-2</v>
      </c>
      <c r="E21" s="1">
        <f t="shared" si="9"/>
        <v>5.6000000000000008E-2</v>
      </c>
      <c r="F21" s="1">
        <f t="shared" si="10"/>
        <v>2.8000000000000004E-2</v>
      </c>
      <c r="G21" s="11">
        <f>AVERAGE(N21,U21,AB21,AI21,AP21)</f>
        <v>0.67400000000000004</v>
      </c>
      <c r="I21">
        <v>0.23</v>
      </c>
      <c r="J21">
        <v>0</v>
      </c>
      <c r="K21">
        <v>0.14000000000000001</v>
      </c>
      <c r="L21">
        <v>0.05</v>
      </c>
      <c r="M21">
        <v>0.05</v>
      </c>
      <c r="N21">
        <v>0.55000000000000004</v>
      </c>
      <c r="P21">
        <v>0.09</v>
      </c>
      <c r="Q21">
        <v>0</v>
      </c>
      <c r="R21">
        <v>0</v>
      </c>
      <c r="S21">
        <v>0.09</v>
      </c>
      <c r="T21">
        <v>0.09</v>
      </c>
      <c r="U21">
        <v>0.73</v>
      </c>
      <c r="W21">
        <v>0.18</v>
      </c>
      <c r="X21">
        <v>0</v>
      </c>
      <c r="Y21">
        <v>0.09</v>
      </c>
      <c r="Z21">
        <v>0.09</v>
      </c>
      <c r="AA21">
        <v>0</v>
      </c>
      <c r="AB21">
        <v>0.64</v>
      </c>
      <c r="AD21">
        <v>0.18</v>
      </c>
      <c r="AE21">
        <v>0</v>
      </c>
      <c r="AF21">
        <v>0.09</v>
      </c>
      <c r="AG21">
        <v>0.05</v>
      </c>
      <c r="AH21">
        <v>0</v>
      </c>
      <c r="AI21">
        <v>0.68</v>
      </c>
      <c r="AK21">
        <v>0.09</v>
      </c>
      <c r="AL21">
        <v>0.09</v>
      </c>
      <c r="AM21">
        <v>0.05</v>
      </c>
      <c r="AN21">
        <v>0</v>
      </c>
      <c r="AO21">
        <v>0</v>
      </c>
      <c r="AP21">
        <v>0.77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0.53200000000000003</v>
      </c>
      <c r="C23" s="1"/>
      <c r="D23" s="1"/>
      <c r="E23" s="1"/>
      <c r="F23" s="1"/>
      <c r="G23" s="1"/>
      <c r="I23">
        <v>0.5</v>
      </c>
      <c r="J23">
        <v>231</v>
      </c>
      <c r="P23">
        <v>0.56000000000000005</v>
      </c>
      <c r="Q23">
        <v>235</v>
      </c>
      <c r="W23">
        <v>0.55000000000000004</v>
      </c>
      <c r="X23">
        <v>234</v>
      </c>
      <c r="AD23">
        <v>0.55000000000000004</v>
      </c>
      <c r="AE23">
        <v>233</v>
      </c>
      <c r="AK23">
        <v>0.5</v>
      </c>
      <c r="AL23">
        <v>233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386D-3D02-4BE7-8158-CA6A5D666D5C}">
  <sheetPr codeName="Arkusz14"/>
  <dimension ref="A4:AP48"/>
  <sheetViews>
    <sheetView workbookViewId="0">
      <selection activeCell="C22" sqref="C22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0.18400000000000002</v>
      </c>
      <c r="C5" s="1">
        <f t="shared" ref="C5:G5" si="0">AVERAGE(J5,Q5,X5,AE5,AL5)</f>
        <v>0.48199999999999993</v>
      </c>
      <c r="D5" s="1">
        <f t="shared" si="0"/>
        <v>0.32800000000000001</v>
      </c>
      <c r="E5" s="1">
        <f t="shared" si="0"/>
        <v>0</v>
      </c>
      <c r="F5" s="1">
        <f t="shared" si="0"/>
        <v>0</v>
      </c>
      <c r="G5" s="1">
        <f t="shared" si="0"/>
        <v>4.0000000000000001E-3</v>
      </c>
      <c r="I5">
        <v>0.54</v>
      </c>
      <c r="J5">
        <v>0.46</v>
      </c>
      <c r="K5">
        <v>0</v>
      </c>
      <c r="L5">
        <v>0</v>
      </c>
      <c r="M5">
        <v>0</v>
      </c>
      <c r="N5">
        <v>0</v>
      </c>
      <c r="P5">
        <v>0.33</v>
      </c>
      <c r="Q5">
        <v>0</v>
      </c>
      <c r="R5">
        <v>0.67</v>
      </c>
      <c r="S5">
        <v>0</v>
      </c>
      <c r="T5">
        <v>0</v>
      </c>
      <c r="U5">
        <v>0</v>
      </c>
      <c r="W5">
        <v>0.03</v>
      </c>
      <c r="X5">
        <v>0.87</v>
      </c>
      <c r="Y5">
        <v>0.09</v>
      </c>
      <c r="Z5">
        <v>0</v>
      </c>
      <c r="AA5">
        <v>0</v>
      </c>
      <c r="AB5">
        <v>0</v>
      </c>
      <c r="AD5">
        <v>0.02</v>
      </c>
      <c r="AE5">
        <v>0.97</v>
      </c>
      <c r="AF5">
        <v>0.01</v>
      </c>
      <c r="AG5">
        <v>0</v>
      </c>
      <c r="AH5">
        <v>0</v>
      </c>
      <c r="AI5">
        <v>0</v>
      </c>
      <c r="AK5">
        <v>0</v>
      </c>
      <c r="AL5">
        <v>0.11</v>
      </c>
      <c r="AM5">
        <v>0.87</v>
      </c>
      <c r="AN5">
        <v>0</v>
      </c>
      <c r="AO5">
        <v>0</v>
      </c>
      <c r="AP5">
        <v>0.02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0.76</v>
      </c>
      <c r="D6" s="1">
        <f t="shared" ref="D6:D10" si="2">AVERAGE(K6,R6,Y6,AF6,AM6)</f>
        <v>0.22800000000000004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1.4000000000000002E-2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0.5</v>
      </c>
      <c r="R6">
        <v>0.5</v>
      </c>
      <c r="S6">
        <v>0</v>
      </c>
      <c r="T6">
        <v>0</v>
      </c>
      <c r="U6">
        <v>0</v>
      </c>
      <c r="W6">
        <v>0</v>
      </c>
      <c r="X6">
        <v>0.87</v>
      </c>
      <c r="Y6">
        <v>0.13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0.43</v>
      </c>
      <c r="AM6">
        <v>0.51</v>
      </c>
      <c r="AN6">
        <v>0</v>
      </c>
      <c r="AO6">
        <v>0</v>
      </c>
      <c r="AP6">
        <v>7.0000000000000007E-2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0.504</v>
      </c>
      <c r="D7" s="11">
        <f>AVERAGE(K7,R7,Y7,AF7,AM7)</f>
        <v>0.45</v>
      </c>
      <c r="E7" s="1">
        <f t="shared" si="3"/>
        <v>0</v>
      </c>
      <c r="F7" s="1">
        <f t="shared" si="4"/>
        <v>0</v>
      </c>
      <c r="G7" s="1">
        <f t="shared" si="5"/>
        <v>4.5999999999999999E-2</v>
      </c>
      <c r="I7">
        <v>0</v>
      </c>
      <c r="J7">
        <v>0.64</v>
      </c>
      <c r="K7">
        <v>0.36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0.69</v>
      </c>
      <c r="Y7">
        <v>0.31</v>
      </c>
      <c r="Z7">
        <v>0</v>
      </c>
      <c r="AA7">
        <v>0</v>
      </c>
      <c r="AB7">
        <v>0</v>
      </c>
      <c r="AD7">
        <v>0</v>
      </c>
      <c r="AE7">
        <v>0.96</v>
      </c>
      <c r="AF7">
        <v>0.04</v>
      </c>
      <c r="AG7">
        <v>0</v>
      </c>
      <c r="AH7">
        <v>0</v>
      </c>
      <c r="AI7">
        <v>0</v>
      </c>
      <c r="AK7">
        <v>0</v>
      </c>
      <c r="AL7">
        <v>0.23</v>
      </c>
      <c r="AM7">
        <v>0.54</v>
      </c>
      <c r="AN7">
        <v>0</v>
      </c>
      <c r="AO7">
        <v>0</v>
      </c>
      <c r="AP7">
        <v>0.23</v>
      </c>
    </row>
    <row r="8" spans="1:42" x14ac:dyDescent="0.25">
      <c r="A8" t="s">
        <v>3</v>
      </c>
      <c r="B8" s="1">
        <f t="shared" si="1"/>
        <v>0.01</v>
      </c>
      <c r="C8" s="1">
        <f t="shared" si="6"/>
        <v>0.56600000000000006</v>
      </c>
      <c r="D8" s="1">
        <f t="shared" si="2"/>
        <v>0.35599999999999998</v>
      </c>
      <c r="E8" s="11">
        <f>AVERAGE(L8,S8,Z8,AG8,AN8)</f>
        <v>5.800000000000001E-2</v>
      </c>
      <c r="F8" s="1">
        <f t="shared" si="4"/>
        <v>0</v>
      </c>
      <c r="G8" s="1">
        <f t="shared" si="5"/>
        <v>8.0000000000000002E-3</v>
      </c>
      <c r="I8">
        <v>0.03</v>
      </c>
      <c r="J8">
        <v>0.66</v>
      </c>
      <c r="K8">
        <v>0.02</v>
      </c>
      <c r="L8">
        <v>0.28000000000000003</v>
      </c>
      <c r="M8">
        <v>0</v>
      </c>
      <c r="N8">
        <v>0</v>
      </c>
      <c r="P8">
        <v>0.02</v>
      </c>
      <c r="Q8">
        <v>0</v>
      </c>
      <c r="R8">
        <v>0.97</v>
      </c>
      <c r="S8">
        <v>0.01</v>
      </c>
      <c r="T8">
        <v>0</v>
      </c>
      <c r="U8">
        <v>0</v>
      </c>
      <c r="W8">
        <v>0</v>
      </c>
      <c r="X8">
        <v>0.94</v>
      </c>
      <c r="Y8">
        <v>0.06</v>
      </c>
      <c r="Z8">
        <v>0</v>
      </c>
      <c r="AA8">
        <v>0</v>
      </c>
      <c r="AB8">
        <v>0</v>
      </c>
      <c r="AD8">
        <v>0</v>
      </c>
      <c r="AE8">
        <v>0.99</v>
      </c>
      <c r="AF8">
        <v>0.01</v>
      </c>
      <c r="AG8">
        <v>0</v>
      </c>
      <c r="AH8">
        <v>0</v>
      </c>
      <c r="AI8">
        <v>0</v>
      </c>
      <c r="AK8">
        <v>0</v>
      </c>
      <c r="AL8">
        <v>0.24</v>
      </c>
      <c r="AM8">
        <v>0.72</v>
      </c>
      <c r="AN8">
        <v>0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1.2E-2</v>
      </c>
      <c r="C9" s="1">
        <f t="shared" si="6"/>
        <v>0.60199999999999998</v>
      </c>
      <c r="D9" s="1">
        <f t="shared" si="2"/>
        <v>0.35799999999999998</v>
      </c>
      <c r="E9" s="1">
        <f t="shared" si="3"/>
        <v>2E-3</v>
      </c>
      <c r="F9" s="11">
        <f>AVERAGE(M9,T9,AA9,AH9,AO9)</f>
        <v>6.0000000000000001E-3</v>
      </c>
      <c r="G9" s="1">
        <f t="shared" si="5"/>
        <v>2.1999999999999999E-2</v>
      </c>
      <c r="I9">
        <v>0.05</v>
      </c>
      <c r="J9">
        <v>0.86</v>
      </c>
      <c r="K9">
        <v>0.04</v>
      </c>
      <c r="L9">
        <v>0.01</v>
      </c>
      <c r="M9">
        <v>0.03</v>
      </c>
      <c r="N9">
        <v>0.01</v>
      </c>
      <c r="P9">
        <v>0.01</v>
      </c>
      <c r="Q9">
        <v>0.05</v>
      </c>
      <c r="R9">
        <v>0.94</v>
      </c>
      <c r="S9">
        <v>0</v>
      </c>
      <c r="T9">
        <v>0</v>
      </c>
      <c r="U9">
        <v>0</v>
      </c>
      <c r="W9">
        <v>0</v>
      </c>
      <c r="X9">
        <v>0.88</v>
      </c>
      <c r="Y9">
        <v>0.12</v>
      </c>
      <c r="Z9">
        <v>0</v>
      </c>
      <c r="AA9">
        <v>0</v>
      </c>
      <c r="AB9">
        <v>0</v>
      </c>
      <c r="AD9">
        <v>0</v>
      </c>
      <c r="AE9">
        <v>0.92</v>
      </c>
      <c r="AF9">
        <v>0.08</v>
      </c>
      <c r="AG9">
        <v>0</v>
      </c>
      <c r="AH9">
        <v>0</v>
      </c>
      <c r="AI9">
        <v>0</v>
      </c>
      <c r="AK9">
        <v>0</v>
      </c>
      <c r="AL9">
        <v>0.3</v>
      </c>
      <c r="AM9">
        <v>0.61</v>
      </c>
      <c r="AN9">
        <v>0</v>
      </c>
      <c r="AO9">
        <v>0</v>
      </c>
      <c r="AP9">
        <v>0.1</v>
      </c>
    </row>
    <row r="10" spans="1:42" x14ac:dyDescent="0.25">
      <c r="A10" t="s">
        <v>5</v>
      </c>
      <c r="B10" s="1">
        <f t="shared" si="1"/>
        <v>0.01</v>
      </c>
      <c r="C10" s="1">
        <f t="shared" si="6"/>
        <v>0.57599999999999996</v>
      </c>
      <c r="D10" s="1">
        <f t="shared" si="2"/>
        <v>0.376</v>
      </c>
      <c r="E10" s="1">
        <f t="shared" si="3"/>
        <v>0</v>
      </c>
      <c r="F10" s="1">
        <f t="shared" si="4"/>
        <v>0</v>
      </c>
      <c r="G10" s="11">
        <f>AVERAGE(N10,U10,AB10,AI10,AP10)</f>
        <v>3.7999999999999999E-2</v>
      </c>
      <c r="I10">
        <v>0.04</v>
      </c>
      <c r="J10">
        <v>0.79</v>
      </c>
      <c r="K10">
        <v>0.05</v>
      </c>
      <c r="L10">
        <v>0</v>
      </c>
      <c r="M10">
        <v>0</v>
      </c>
      <c r="N10">
        <v>0.12</v>
      </c>
      <c r="P10">
        <v>0.01</v>
      </c>
      <c r="Q10">
        <v>0.02</v>
      </c>
      <c r="R10">
        <v>0.95</v>
      </c>
      <c r="S10">
        <v>0</v>
      </c>
      <c r="T10">
        <v>0</v>
      </c>
      <c r="U10">
        <v>0.01</v>
      </c>
      <c r="W10">
        <v>0</v>
      </c>
      <c r="X10">
        <v>0.95</v>
      </c>
      <c r="Y10">
        <v>0.05</v>
      </c>
      <c r="Z10">
        <v>0</v>
      </c>
      <c r="AA10">
        <v>0</v>
      </c>
      <c r="AB10">
        <v>0</v>
      </c>
      <c r="AD10">
        <v>0</v>
      </c>
      <c r="AE10">
        <v>1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0.12</v>
      </c>
      <c r="AM10">
        <v>0.83</v>
      </c>
      <c r="AN10">
        <v>0</v>
      </c>
      <c r="AO10">
        <v>0</v>
      </c>
      <c r="AP10">
        <v>0.06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0.24999999999999994</v>
      </c>
      <c r="C12" s="1"/>
      <c r="D12" s="1"/>
      <c r="E12" s="1"/>
      <c r="F12" s="1"/>
      <c r="G12" s="1"/>
      <c r="I12">
        <v>0.39</v>
      </c>
      <c r="J12">
        <v>2193</v>
      </c>
      <c r="P12">
        <v>0.31</v>
      </c>
      <c r="Q12">
        <v>2188</v>
      </c>
      <c r="W12">
        <v>0.2</v>
      </c>
      <c r="X12">
        <v>2189</v>
      </c>
      <c r="AD12">
        <v>0.18</v>
      </c>
      <c r="AE12">
        <v>2191</v>
      </c>
      <c r="AK12">
        <v>0.17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0.13199999999999998</v>
      </c>
      <c r="C16" s="1">
        <f t="shared" ref="C16:C21" si="7">AVERAGE(J16,Q16,X16,AE16,AL16)</f>
        <v>0.50800000000000001</v>
      </c>
      <c r="D16" s="1">
        <f t="shared" ref="D16:D21" si="8">AVERAGE(K16,R16,Y16,AF16,AM16)</f>
        <v>0.36</v>
      </c>
      <c r="E16" s="1">
        <f t="shared" ref="E16:E21" si="9">AVERAGE(L16,S16,Z16,AG16,AN16)</f>
        <v>0</v>
      </c>
      <c r="F16" s="1">
        <f t="shared" ref="F16:F21" si="10">AVERAGE(M16,T16,AA16,AH16,AO16)</f>
        <v>0</v>
      </c>
      <c r="G16" s="1">
        <f t="shared" ref="G16:G20" si="11">AVERAGE(N16,U16,AB16,AI16,AP16)</f>
        <v>0</v>
      </c>
      <c r="I16">
        <v>0.45</v>
      </c>
      <c r="J16">
        <v>0.55000000000000004</v>
      </c>
      <c r="K16">
        <v>0</v>
      </c>
      <c r="L16">
        <v>0</v>
      </c>
      <c r="M16">
        <v>0</v>
      </c>
      <c r="N16">
        <v>0</v>
      </c>
      <c r="P16">
        <v>0.15</v>
      </c>
      <c r="Q16">
        <v>0</v>
      </c>
      <c r="R16">
        <v>0.85</v>
      </c>
      <c r="S16">
        <v>0</v>
      </c>
      <c r="T16">
        <v>0</v>
      </c>
      <c r="U16">
        <v>0</v>
      </c>
      <c r="W16">
        <v>0.06</v>
      </c>
      <c r="X16">
        <v>0.88</v>
      </c>
      <c r="Y16">
        <v>0.06</v>
      </c>
      <c r="Z16">
        <v>0</v>
      </c>
      <c r="AA16">
        <v>0</v>
      </c>
      <c r="AB16">
        <v>0</v>
      </c>
      <c r="AD16">
        <v>0</v>
      </c>
      <c r="AE16">
        <v>1</v>
      </c>
      <c r="AF16">
        <v>0</v>
      </c>
      <c r="AG16">
        <v>0</v>
      </c>
      <c r="AH16">
        <v>0</v>
      </c>
      <c r="AI16">
        <v>0</v>
      </c>
      <c r="AK16">
        <v>0</v>
      </c>
      <c r="AL16">
        <v>0.11</v>
      </c>
      <c r="AM16">
        <v>0.89</v>
      </c>
      <c r="AN16">
        <v>0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21" si="12">AVERAGE(I17,P17,W17,AD17,AK17)</f>
        <v>0</v>
      </c>
      <c r="C17" s="11">
        <f>AVERAGE(J17,Q17,X17,AE17,AL17)</f>
        <v>0.71599999999999997</v>
      </c>
      <c r="D17" s="1">
        <f t="shared" si="8"/>
        <v>0.28399999999999997</v>
      </c>
      <c r="E17" s="1">
        <f t="shared" si="9"/>
        <v>0</v>
      </c>
      <c r="F17" s="1">
        <f t="shared" si="10"/>
        <v>0</v>
      </c>
      <c r="G17" s="1">
        <f t="shared" si="11"/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P17">
        <v>0</v>
      </c>
      <c r="Q17">
        <v>0.25</v>
      </c>
      <c r="R17">
        <v>0.75</v>
      </c>
      <c r="S17">
        <v>0</v>
      </c>
      <c r="T17">
        <v>0</v>
      </c>
      <c r="U17">
        <v>0</v>
      </c>
      <c r="W17">
        <v>0</v>
      </c>
      <c r="X17">
        <v>0.93</v>
      </c>
      <c r="Y17">
        <v>7.0000000000000007E-2</v>
      </c>
      <c r="Z17">
        <v>0</v>
      </c>
      <c r="AA17">
        <v>0</v>
      </c>
      <c r="AB17">
        <v>0</v>
      </c>
      <c r="AD17">
        <v>0</v>
      </c>
      <c r="AE17">
        <v>1</v>
      </c>
      <c r="AF17">
        <v>0</v>
      </c>
      <c r="AG17">
        <v>0</v>
      </c>
      <c r="AH17">
        <v>0</v>
      </c>
      <c r="AI17">
        <v>0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0</v>
      </c>
      <c r="C18" s="1">
        <f t="shared" si="7"/>
        <v>0.51</v>
      </c>
      <c r="D18" s="11">
        <f>AVERAGE(K18,R18,Y18,AF18,AM18)</f>
        <v>0.47400000000000003</v>
      </c>
      <c r="E18" s="1">
        <f t="shared" si="9"/>
        <v>0</v>
      </c>
      <c r="F18" s="1">
        <f t="shared" si="10"/>
        <v>0</v>
      </c>
      <c r="G18" s="1">
        <f t="shared" si="11"/>
        <v>1.7999999999999999E-2</v>
      </c>
      <c r="I18">
        <v>0</v>
      </c>
      <c r="J18">
        <v>0.59</v>
      </c>
      <c r="K18">
        <v>0.41</v>
      </c>
      <c r="L18">
        <v>0</v>
      </c>
      <c r="M18">
        <v>0</v>
      </c>
      <c r="N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W18">
        <v>0</v>
      </c>
      <c r="X18">
        <v>0.7</v>
      </c>
      <c r="Y18">
        <v>0.3</v>
      </c>
      <c r="Z18">
        <v>0</v>
      </c>
      <c r="AA18">
        <v>0</v>
      </c>
      <c r="AB18">
        <v>0</v>
      </c>
      <c r="AD18">
        <v>0</v>
      </c>
      <c r="AE18">
        <v>0.91</v>
      </c>
      <c r="AF18">
        <v>0.09</v>
      </c>
      <c r="AG18">
        <v>0</v>
      </c>
      <c r="AH18">
        <v>0</v>
      </c>
      <c r="AI18">
        <v>0</v>
      </c>
      <c r="AK18">
        <v>0</v>
      </c>
      <c r="AL18">
        <v>0.35</v>
      </c>
      <c r="AM18">
        <v>0.56999999999999995</v>
      </c>
      <c r="AN18">
        <v>0</v>
      </c>
      <c r="AO18">
        <v>0</v>
      </c>
      <c r="AP18">
        <v>0.09</v>
      </c>
    </row>
    <row r="19" spans="1:42" x14ac:dyDescent="0.25">
      <c r="A19" t="s">
        <v>3</v>
      </c>
      <c r="B19" s="1">
        <f t="shared" si="12"/>
        <v>0.01</v>
      </c>
      <c r="C19" s="1">
        <f t="shared" si="7"/>
        <v>0.57999999999999996</v>
      </c>
      <c r="D19" s="1">
        <f t="shared" si="8"/>
        <v>0.34199999999999997</v>
      </c>
      <c r="E19" s="11">
        <f>AVERAGE(L19,S19,Z19,AG19,AN19)</f>
        <v>5.4000000000000006E-2</v>
      </c>
      <c r="F19" s="1">
        <f t="shared" si="10"/>
        <v>0</v>
      </c>
      <c r="G19" s="1">
        <f t="shared" si="11"/>
        <v>1.2E-2</v>
      </c>
      <c r="I19">
        <v>0.04</v>
      </c>
      <c r="J19">
        <v>0.67</v>
      </c>
      <c r="K19">
        <v>0.03</v>
      </c>
      <c r="L19">
        <v>0.26</v>
      </c>
      <c r="M19">
        <v>0</v>
      </c>
      <c r="N19">
        <v>0</v>
      </c>
      <c r="P19">
        <v>0.01</v>
      </c>
      <c r="Q19">
        <v>0</v>
      </c>
      <c r="R19">
        <v>0.98</v>
      </c>
      <c r="S19">
        <v>0.01</v>
      </c>
      <c r="T19">
        <v>0</v>
      </c>
      <c r="U19">
        <v>0</v>
      </c>
      <c r="W19">
        <v>0</v>
      </c>
      <c r="X19">
        <v>0.97</v>
      </c>
      <c r="Y19">
        <v>0.03</v>
      </c>
      <c r="Z19">
        <v>0</v>
      </c>
      <c r="AA19">
        <v>0</v>
      </c>
      <c r="AB19">
        <v>0</v>
      </c>
      <c r="AD19">
        <v>0</v>
      </c>
      <c r="AE19">
        <v>0.99</v>
      </c>
      <c r="AF19">
        <v>0</v>
      </c>
      <c r="AG19">
        <v>0</v>
      </c>
      <c r="AH19">
        <v>0</v>
      </c>
      <c r="AI19">
        <v>0</v>
      </c>
      <c r="AK19">
        <v>0</v>
      </c>
      <c r="AL19">
        <v>0.27</v>
      </c>
      <c r="AM19">
        <v>0.67</v>
      </c>
      <c r="AN19">
        <v>0</v>
      </c>
      <c r="AO19">
        <v>0</v>
      </c>
      <c r="AP19">
        <v>0.06</v>
      </c>
    </row>
    <row r="20" spans="1:42" x14ac:dyDescent="0.25">
      <c r="A20" t="s">
        <v>4</v>
      </c>
      <c r="B20" s="1">
        <f t="shared" si="12"/>
        <v>1.4000000000000002E-2</v>
      </c>
      <c r="C20" s="1">
        <f t="shared" si="7"/>
        <v>0.59399999999999997</v>
      </c>
      <c r="D20" s="1">
        <f t="shared" si="8"/>
        <v>0.35799999999999998</v>
      </c>
      <c r="E20" s="1">
        <f t="shared" si="9"/>
        <v>4.0000000000000001E-3</v>
      </c>
      <c r="F20" s="11">
        <f>AVERAGE(M20,T20,AA20,AH20,AO20)</f>
        <v>6.0000000000000001E-3</v>
      </c>
      <c r="G20" s="1">
        <f t="shared" si="11"/>
        <v>2.4E-2</v>
      </c>
      <c r="I20">
        <v>0.05</v>
      </c>
      <c r="J20">
        <v>0.85</v>
      </c>
      <c r="K20">
        <v>0.03</v>
      </c>
      <c r="L20">
        <v>0.02</v>
      </c>
      <c r="M20">
        <v>0.03</v>
      </c>
      <c r="N20">
        <v>0.01</v>
      </c>
      <c r="P20">
        <v>0.02</v>
      </c>
      <c r="Q20">
        <v>0.04</v>
      </c>
      <c r="R20">
        <v>0.94</v>
      </c>
      <c r="S20">
        <v>0</v>
      </c>
      <c r="T20">
        <v>0</v>
      </c>
      <c r="U20">
        <v>0</v>
      </c>
      <c r="W20">
        <v>0</v>
      </c>
      <c r="X20">
        <v>0.89</v>
      </c>
      <c r="Y20">
        <v>0.11</v>
      </c>
      <c r="Z20">
        <v>0</v>
      </c>
      <c r="AA20">
        <v>0</v>
      </c>
      <c r="AB20">
        <v>0</v>
      </c>
      <c r="AD20">
        <v>0</v>
      </c>
      <c r="AE20">
        <v>0.94</v>
      </c>
      <c r="AF20">
        <v>0.06</v>
      </c>
      <c r="AG20">
        <v>0</v>
      </c>
      <c r="AH20">
        <v>0</v>
      </c>
      <c r="AI20">
        <v>0</v>
      </c>
      <c r="AK20">
        <v>0</v>
      </c>
      <c r="AL20">
        <v>0.25</v>
      </c>
      <c r="AM20">
        <v>0.65</v>
      </c>
      <c r="AN20">
        <v>0</v>
      </c>
      <c r="AO20">
        <v>0</v>
      </c>
      <c r="AP20">
        <v>0.11</v>
      </c>
    </row>
    <row r="21" spans="1:42" x14ac:dyDescent="0.25">
      <c r="A21" t="s">
        <v>5</v>
      </c>
      <c r="B21" s="1">
        <f t="shared" si="12"/>
        <v>3.5999999999999997E-2</v>
      </c>
      <c r="C21" s="1">
        <f t="shared" si="7"/>
        <v>0.53800000000000003</v>
      </c>
      <c r="D21" s="1">
        <f t="shared" si="8"/>
        <v>0.38400000000000001</v>
      </c>
      <c r="E21" s="1">
        <f t="shared" si="9"/>
        <v>0</v>
      </c>
      <c r="F21" s="1">
        <f t="shared" si="10"/>
        <v>0</v>
      </c>
      <c r="G21" s="11">
        <f>AVERAGE(N21,U21,AB21,AI21,AP21)</f>
        <v>4.2000000000000003E-2</v>
      </c>
      <c r="I21">
        <v>0.18</v>
      </c>
      <c r="J21">
        <v>0.62</v>
      </c>
      <c r="K21">
        <v>7.0000000000000007E-2</v>
      </c>
      <c r="L21">
        <v>0</v>
      </c>
      <c r="M21">
        <v>0</v>
      </c>
      <c r="N21">
        <v>0.13</v>
      </c>
      <c r="P21">
        <v>0</v>
      </c>
      <c r="Q21">
        <v>0.03</v>
      </c>
      <c r="R21">
        <v>0.97</v>
      </c>
      <c r="S21">
        <v>0</v>
      </c>
      <c r="T21">
        <v>0</v>
      </c>
      <c r="U21">
        <v>0</v>
      </c>
      <c r="W21">
        <v>0</v>
      </c>
      <c r="X21">
        <v>0.97</v>
      </c>
      <c r="Y21">
        <v>0.03</v>
      </c>
      <c r="Z21">
        <v>0</v>
      </c>
      <c r="AA21">
        <v>0</v>
      </c>
      <c r="AB21">
        <v>0</v>
      </c>
      <c r="AD21">
        <v>0</v>
      </c>
      <c r="AE21">
        <v>1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7.0000000000000007E-2</v>
      </c>
      <c r="AM21">
        <v>0.85</v>
      </c>
      <c r="AN21">
        <v>0</v>
      </c>
      <c r="AO21">
        <v>0</v>
      </c>
      <c r="AP21">
        <v>0.08</v>
      </c>
    </row>
    <row r="22" spans="1:42" x14ac:dyDescent="0.25">
      <c r="B22" s="1"/>
      <c r="C22" s="1">
        <f>AVERAGE(C18:C21,C16)</f>
        <v>0.54599999999999993</v>
      </c>
      <c r="D22" s="1"/>
      <c r="E22" s="1"/>
      <c r="F22" s="1"/>
      <c r="G22" s="1"/>
    </row>
    <row r="23" spans="1:42" x14ac:dyDescent="0.25">
      <c r="B23" s="11">
        <f>AVERAGE(I23,P23,W23,AD23,AK23)</f>
        <v>0.23599999999999999</v>
      </c>
      <c r="C23" s="1"/>
      <c r="D23" s="1"/>
      <c r="E23" s="1"/>
      <c r="F23" s="1"/>
      <c r="G23" s="1"/>
      <c r="I23">
        <v>0.38</v>
      </c>
      <c r="J23">
        <v>545</v>
      </c>
      <c r="P23">
        <v>0.23</v>
      </c>
      <c r="Q23">
        <v>550</v>
      </c>
      <c r="W23">
        <v>0.22</v>
      </c>
      <c r="X23">
        <v>549</v>
      </c>
      <c r="AD23">
        <v>0.18</v>
      </c>
      <c r="AE23">
        <v>547</v>
      </c>
      <c r="AK23">
        <v>0.17</v>
      </c>
      <c r="AL23">
        <v>547</v>
      </c>
    </row>
    <row r="26" spans="1:42" x14ac:dyDescent="0.25">
      <c r="B26" t="s">
        <v>19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 t="shared" ref="B30:G35" si="13">AVERAGE(I30,P30,W30,AD30,AK30)</f>
        <v>0.184</v>
      </c>
      <c r="C30" s="1">
        <f t="shared" si="13"/>
        <v>0.52200000000000002</v>
      </c>
      <c r="D30" s="1">
        <f t="shared" si="13"/>
        <v>0.29399999999999998</v>
      </c>
      <c r="E30" s="1">
        <f t="shared" si="13"/>
        <v>0</v>
      </c>
      <c r="F30" s="1">
        <f t="shared" si="13"/>
        <v>0</v>
      </c>
      <c r="G30" s="1">
        <f t="shared" si="13"/>
        <v>0</v>
      </c>
      <c r="I30">
        <v>0.16</v>
      </c>
      <c r="J30">
        <v>0.37</v>
      </c>
      <c r="K30">
        <v>0.47</v>
      </c>
      <c r="L30">
        <v>0</v>
      </c>
      <c r="M30">
        <v>0</v>
      </c>
      <c r="N30">
        <v>0</v>
      </c>
      <c r="P30">
        <v>0.18</v>
      </c>
      <c r="Q30">
        <v>0.6</v>
      </c>
      <c r="R30">
        <v>0.22</v>
      </c>
      <c r="S30">
        <v>0</v>
      </c>
      <c r="T30">
        <v>0</v>
      </c>
      <c r="U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0</v>
      </c>
      <c r="AD30">
        <v>0.48</v>
      </c>
      <c r="AE30">
        <v>0.52</v>
      </c>
      <c r="AF30">
        <v>0</v>
      </c>
      <c r="AG30">
        <v>0</v>
      </c>
      <c r="AH30">
        <v>0</v>
      </c>
      <c r="AI30">
        <v>0</v>
      </c>
      <c r="AK30">
        <v>0.1</v>
      </c>
      <c r="AL30">
        <v>0.12</v>
      </c>
      <c r="AM30">
        <v>0.78</v>
      </c>
      <c r="AN30">
        <v>0</v>
      </c>
      <c r="AO30">
        <v>0</v>
      </c>
      <c r="AP30">
        <v>0</v>
      </c>
    </row>
    <row r="31" spans="1:42" x14ac:dyDescent="0.25">
      <c r="A31" t="s">
        <v>2</v>
      </c>
      <c r="B31" s="1">
        <f t="shared" si="13"/>
        <v>0</v>
      </c>
      <c r="C31" s="5">
        <f t="shared" si="13"/>
        <v>0.66799999999999993</v>
      </c>
      <c r="D31" s="1">
        <f t="shared" si="13"/>
        <v>0.33200000000000002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0.46</v>
      </c>
      <c r="K31">
        <v>0.54</v>
      </c>
      <c r="L31">
        <v>0</v>
      </c>
      <c r="M31">
        <v>0</v>
      </c>
      <c r="N31">
        <v>0</v>
      </c>
      <c r="P31">
        <v>0</v>
      </c>
      <c r="Q31">
        <v>0.46</v>
      </c>
      <c r="R31">
        <v>0.54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0.42</v>
      </c>
      <c r="AM31">
        <v>0.57999999999999996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 t="shared" si="13"/>
        <v>0</v>
      </c>
      <c r="C32" s="1">
        <f t="shared" si="13"/>
        <v>0.49800000000000005</v>
      </c>
      <c r="D32" s="5">
        <f t="shared" si="13"/>
        <v>0.502</v>
      </c>
      <c r="E32" s="1">
        <f t="shared" si="13"/>
        <v>0</v>
      </c>
      <c r="F32" s="1">
        <f t="shared" si="13"/>
        <v>0</v>
      </c>
      <c r="G32" s="1">
        <f t="shared" si="13"/>
        <v>0</v>
      </c>
      <c r="I32">
        <v>0</v>
      </c>
      <c r="J32">
        <v>0.36</v>
      </c>
      <c r="K32">
        <v>0.64</v>
      </c>
      <c r="L32">
        <v>0</v>
      </c>
      <c r="M32">
        <v>0</v>
      </c>
      <c r="N32">
        <v>0</v>
      </c>
      <c r="P32">
        <v>0</v>
      </c>
      <c r="Q32">
        <v>0.2</v>
      </c>
      <c r="R32">
        <v>0.8</v>
      </c>
      <c r="S32">
        <v>0</v>
      </c>
      <c r="T32">
        <v>0</v>
      </c>
      <c r="U32">
        <v>0</v>
      </c>
      <c r="W32">
        <v>0</v>
      </c>
      <c r="X32">
        <v>1</v>
      </c>
      <c r="Y32">
        <v>0</v>
      </c>
      <c r="Z32">
        <v>0</v>
      </c>
      <c r="AA32">
        <v>0</v>
      </c>
      <c r="AB32">
        <v>0</v>
      </c>
      <c r="AD32">
        <v>0</v>
      </c>
      <c r="AE32">
        <v>0.67</v>
      </c>
      <c r="AF32">
        <v>0.33</v>
      </c>
      <c r="AG32">
        <v>0</v>
      </c>
      <c r="AH32">
        <v>0</v>
      </c>
      <c r="AI32">
        <v>0</v>
      </c>
      <c r="AK32">
        <v>0</v>
      </c>
      <c r="AL32">
        <v>0.26</v>
      </c>
      <c r="AM32">
        <v>0.74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 t="shared" si="13"/>
        <v>4.0000000000000001E-3</v>
      </c>
      <c r="C33" s="1">
        <f t="shared" si="13"/>
        <v>0.73000000000000009</v>
      </c>
      <c r="D33" s="1">
        <f t="shared" si="13"/>
        <v>0.25600000000000001</v>
      </c>
      <c r="E33" s="5">
        <f t="shared" si="13"/>
        <v>1.4000000000000002E-2</v>
      </c>
      <c r="F33" s="1">
        <f t="shared" si="13"/>
        <v>0</v>
      </c>
      <c r="G33" s="1">
        <f t="shared" si="13"/>
        <v>0</v>
      </c>
      <c r="I33">
        <v>0</v>
      </c>
      <c r="J33">
        <v>0.69</v>
      </c>
      <c r="K33">
        <v>0.31</v>
      </c>
      <c r="L33">
        <v>0.01</v>
      </c>
      <c r="M33">
        <v>0</v>
      </c>
      <c r="N33">
        <v>0</v>
      </c>
      <c r="P33">
        <v>0</v>
      </c>
      <c r="Q33">
        <v>0.8</v>
      </c>
      <c r="R33">
        <v>0.2</v>
      </c>
      <c r="S33">
        <v>0</v>
      </c>
      <c r="T33">
        <v>0</v>
      </c>
      <c r="U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0</v>
      </c>
      <c r="AD33">
        <v>0.02</v>
      </c>
      <c r="AE33">
        <v>0.92</v>
      </c>
      <c r="AF33">
        <v>0.01</v>
      </c>
      <c r="AG33">
        <v>0.05</v>
      </c>
      <c r="AH33">
        <v>0</v>
      </c>
      <c r="AI33">
        <v>0</v>
      </c>
      <c r="AK33">
        <v>0</v>
      </c>
      <c r="AL33">
        <v>0.24</v>
      </c>
      <c r="AM33">
        <v>0.76</v>
      </c>
      <c r="AN33">
        <v>0.01</v>
      </c>
      <c r="AO33">
        <v>0</v>
      </c>
      <c r="AP33">
        <v>0</v>
      </c>
    </row>
    <row r="34" spans="1:42" x14ac:dyDescent="0.25">
      <c r="A34" t="s">
        <v>4</v>
      </c>
      <c r="B34" s="1">
        <f t="shared" si="13"/>
        <v>6.0000000000000001E-3</v>
      </c>
      <c r="C34" s="1">
        <f t="shared" si="13"/>
        <v>0.64200000000000002</v>
      </c>
      <c r="D34" s="1">
        <f t="shared" si="13"/>
        <v>0.34799999999999998</v>
      </c>
      <c r="E34" s="1">
        <f t="shared" si="13"/>
        <v>0</v>
      </c>
      <c r="F34" s="5">
        <f t="shared" si="13"/>
        <v>0</v>
      </c>
      <c r="G34" s="1">
        <f t="shared" si="13"/>
        <v>0</v>
      </c>
      <c r="I34">
        <v>0</v>
      </c>
      <c r="J34">
        <v>0.47</v>
      </c>
      <c r="K34">
        <v>0.53</v>
      </c>
      <c r="L34">
        <v>0</v>
      </c>
      <c r="M34">
        <v>0</v>
      </c>
      <c r="N34">
        <v>0</v>
      </c>
      <c r="P34">
        <v>0</v>
      </c>
      <c r="Q34">
        <v>0.53</v>
      </c>
      <c r="R34">
        <v>0.47</v>
      </c>
      <c r="S34">
        <v>0</v>
      </c>
      <c r="T34">
        <v>0</v>
      </c>
      <c r="U34">
        <v>0</v>
      </c>
      <c r="W34">
        <v>0</v>
      </c>
      <c r="X34">
        <v>1</v>
      </c>
      <c r="Y34">
        <v>0</v>
      </c>
      <c r="Z34">
        <v>0</v>
      </c>
      <c r="AA34">
        <v>0</v>
      </c>
      <c r="AB34">
        <v>0</v>
      </c>
      <c r="AD34">
        <v>0.03</v>
      </c>
      <c r="AE34">
        <v>0.96</v>
      </c>
      <c r="AF34">
        <v>0</v>
      </c>
      <c r="AG34">
        <v>0</v>
      </c>
      <c r="AH34">
        <v>0</v>
      </c>
      <c r="AI34">
        <v>0</v>
      </c>
      <c r="AK34">
        <v>0</v>
      </c>
      <c r="AL34">
        <v>0.25</v>
      </c>
      <c r="AM34">
        <v>0.74</v>
      </c>
      <c r="AN34">
        <v>0</v>
      </c>
      <c r="AO34">
        <v>0</v>
      </c>
      <c r="AP34">
        <v>0</v>
      </c>
    </row>
    <row r="35" spans="1:42" x14ac:dyDescent="0.25">
      <c r="A35" t="s">
        <v>5</v>
      </c>
      <c r="B35" s="1">
        <f t="shared" si="13"/>
        <v>0.01</v>
      </c>
      <c r="C35" s="1">
        <f t="shared" si="13"/>
        <v>0.64399999999999991</v>
      </c>
      <c r="D35" s="1">
        <f t="shared" si="13"/>
        <v>0.32999999999999996</v>
      </c>
      <c r="E35" s="1">
        <f t="shared" si="13"/>
        <v>0</v>
      </c>
      <c r="F35" s="1">
        <f t="shared" si="13"/>
        <v>0</v>
      </c>
      <c r="G35" s="5">
        <f t="shared" si="13"/>
        <v>1.4000000000000002E-2</v>
      </c>
      <c r="I35">
        <v>0</v>
      </c>
      <c r="J35">
        <v>0.51</v>
      </c>
      <c r="K35">
        <v>0.48</v>
      </c>
      <c r="L35">
        <v>0</v>
      </c>
      <c r="M35">
        <v>0</v>
      </c>
      <c r="N35">
        <v>0</v>
      </c>
      <c r="P35">
        <v>0</v>
      </c>
      <c r="Q35">
        <v>0.7</v>
      </c>
      <c r="R35">
        <v>0.3</v>
      </c>
      <c r="S35">
        <v>0</v>
      </c>
      <c r="T35">
        <v>0</v>
      </c>
      <c r="U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0</v>
      </c>
      <c r="AD35">
        <v>0.05</v>
      </c>
      <c r="AE35">
        <v>0.86</v>
      </c>
      <c r="AF35">
        <v>0.02</v>
      </c>
      <c r="AG35">
        <v>0</v>
      </c>
      <c r="AH35">
        <v>0</v>
      </c>
      <c r="AI35">
        <v>7.0000000000000007E-2</v>
      </c>
      <c r="AK35">
        <v>0</v>
      </c>
      <c r="AL35">
        <v>0.15</v>
      </c>
      <c r="AM35">
        <v>0.85</v>
      </c>
      <c r="AN35">
        <v>0</v>
      </c>
      <c r="AO35">
        <v>0</v>
      </c>
      <c r="AP35">
        <v>0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0.22999999999999998</v>
      </c>
      <c r="C37" s="1"/>
      <c r="D37" s="1"/>
      <c r="E37" s="1"/>
      <c r="F37" s="1"/>
      <c r="G37" s="1"/>
      <c r="I37">
        <v>0.21</v>
      </c>
      <c r="P37">
        <v>0.24</v>
      </c>
      <c r="W37">
        <v>0.17</v>
      </c>
      <c r="AD37">
        <v>0.32</v>
      </c>
      <c r="AK37">
        <v>0.21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 t="shared" ref="B41:G46" si="14">AVERAGE(I41,P41,W41,AD41,AK41)</f>
        <v>0.14399999999999999</v>
      </c>
      <c r="C41" s="1">
        <f t="shared" si="14"/>
        <v>0.52800000000000002</v>
      </c>
      <c r="D41" s="1">
        <f t="shared" si="14"/>
        <v>0.32999999999999996</v>
      </c>
      <c r="E41" s="1">
        <f t="shared" si="14"/>
        <v>0</v>
      </c>
      <c r="F41" s="1">
        <f t="shared" si="14"/>
        <v>0</v>
      </c>
      <c r="G41" s="1">
        <f t="shared" si="14"/>
        <v>0</v>
      </c>
      <c r="I41">
        <v>0.13</v>
      </c>
      <c r="J41">
        <v>0.32</v>
      </c>
      <c r="K41">
        <v>0.56000000000000005</v>
      </c>
      <c r="L41">
        <v>0</v>
      </c>
      <c r="M41">
        <v>0</v>
      </c>
      <c r="N41">
        <v>0</v>
      </c>
      <c r="P41">
        <v>0.09</v>
      </c>
      <c r="Q41">
        <v>0.66</v>
      </c>
      <c r="R41">
        <v>0.25</v>
      </c>
      <c r="S41">
        <v>0</v>
      </c>
      <c r="T41">
        <v>0</v>
      </c>
      <c r="U41">
        <v>0</v>
      </c>
      <c r="W41">
        <v>0</v>
      </c>
      <c r="X41">
        <v>1</v>
      </c>
      <c r="Y41">
        <v>0</v>
      </c>
      <c r="Z41">
        <v>0</v>
      </c>
      <c r="AA41">
        <v>0</v>
      </c>
      <c r="AB41">
        <v>0</v>
      </c>
      <c r="AD41">
        <v>0.44</v>
      </c>
      <c r="AE41">
        <v>0.56000000000000005</v>
      </c>
      <c r="AF41">
        <v>0</v>
      </c>
      <c r="AG41">
        <v>0</v>
      </c>
      <c r="AH41">
        <v>0</v>
      </c>
      <c r="AI41">
        <v>0</v>
      </c>
      <c r="AK41">
        <v>0.06</v>
      </c>
      <c r="AL41">
        <v>0.1</v>
      </c>
      <c r="AM41">
        <v>0.84</v>
      </c>
      <c r="AN41">
        <v>0</v>
      </c>
      <c r="AO41">
        <v>0</v>
      </c>
      <c r="AP41">
        <v>0</v>
      </c>
    </row>
    <row r="42" spans="1:42" x14ac:dyDescent="0.25">
      <c r="A42" t="s">
        <v>2</v>
      </c>
      <c r="B42" s="1">
        <f t="shared" si="14"/>
        <v>0</v>
      </c>
      <c r="C42" s="5">
        <f t="shared" si="14"/>
        <v>0.70200000000000007</v>
      </c>
      <c r="D42" s="1">
        <f t="shared" si="14"/>
        <v>0.29799999999999999</v>
      </c>
      <c r="E42" s="1">
        <f t="shared" si="14"/>
        <v>0</v>
      </c>
      <c r="F42" s="1">
        <f t="shared" si="14"/>
        <v>0</v>
      </c>
      <c r="G42" s="1">
        <f t="shared" si="14"/>
        <v>0</v>
      </c>
      <c r="I42">
        <v>0</v>
      </c>
      <c r="J42">
        <v>0.59</v>
      </c>
      <c r="K42">
        <v>0.41</v>
      </c>
      <c r="L42">
        <v>0</v>
      </c>
      <c r="M42">
        <v>0</v>
      </c>
      <c r="N42">
        <v>0</v>
      </c>
      <c r="P42">
        <v>0</v>
      </c>
      <c r="Q42">
        <v>0.4</v>
      </c>
      <c r="R42">
        <v>0.6</v>
      </c>
      <c r="S42">
        <v>0</v>
      </c>
      <c r="T42">
        <v>0</v>
      </c>
      <c r="U42">
        <v>0</v>
      </c>
      <c r="W42">
        <v>0</v>
      </c>
      <c r="X42">
        <v>1</v>
      </c>
      <c r="Y42">
        <v>0</v>
      </c>
      <c r="Z42">
        <v>0</v>
      </c>
      <c r="AA42">
        <v>0</v>
      </c>
      <c r="AB42">
        <v>0</v>
      </c>
      <c r="AD42">
        <v>0</v>
      </c>
      <c r="AE42">
        <v>1</v>
      </c>
      <c r="AF42">
        <v>0</v>
      </c>
      <c r="AG42">
        <v>0</v>
      </c>
      <c r="AH42">
        <v>0</v>
      </c>
      <c r="AI42">
        <v>0</v>
      </c>
      <c r="AK42">
        <v>0</v>
      </c>
      <c r="AL42">
        <v>0.52</v>
      </c>
      <c r="AM42">
        <v>0.48</v>
      </c>
      <c r="AN42">
        <v>0</v>
      </c>
      <c r="AO42">
        <v>0</v>
      </c>
      <c r="AP42">
        <v>0</v>
      </c>
    </row>
    <row r="43" spans="1:42" x14ac:dyDescent="0.25">
      <c r="A43" t="s">
        <v>1</v>
      </c>
      <c r="B43" s="1">
        <f t="shared" si="14"/>
        <v>0</v>
      </c>
      <c r="C43" s="1">
        <f t="shared" si="14"/>
        <v>0.51800000000000002</v>
      </c>
      <c r="D43" s="5">
        <f t="shared" si="14"/>
        <v>0.48200000000000004</v>
      </c>
      <c r="E43" s="1">
        <f t="shared" si="14"/>
        <v>0</v>
      </c>
      <c r="F43" s="1">
        <f t="shared" si="14"/>
        <v>0</v>
      </c>
      <c r="G43" s="1">
        <f t="shared" si="14"/>
        <v>0</v>
      </c>
      <c r="I43">
        <v>0</v>
      </c>
      <c r="J43">
        <v>0.23</v>
      </c>
      <c r="K43">
        <v>0.77</v>
      </c>
      <c r="L43">
        <v>0</v>
      </c>
      <c r="M43">
        <v>0</v>
      </c>
      <c r="N43">
        <v>0</v>
      </c>
      <c r="P43">
        <v>0</v>
      </c>
      <c r="Q43">
        <v>0.31</v>
      </c>
      <c r="R43">
        <v>0.69</v>
      </c>
      <c r="S43">
        <v>0</v>
      </c>
      <c r="T43">
        <v>0</v>
      </c>
      <c r="U43">
        <v>0</v>
      </c>
      <c r="W43">
        <v>0</v>
      </c>
      <c r="X43">
        <v>1</v>
      </c>
      <c r="Y43">
        <v>0</v>
      </c>
      <c r="Z43">
        <v>0</v>
      </c>
      <c r="AA43">
        <v>0</v>
      </c>
      <c r="AB43">
        <v>0</v>
      </c>
      <c r="AD43">
        <v>0</v>
      </c>
      <c r="AE43">
        <v>0.83</v>
      </c>
      <c r="AF43">
        <v>0.17</v>
      </c>
      <c r="AG43">
        <v>0</v>
      </c>
      <c r="AH43">
        <v>0</v>
      </c>
      <c r="AI43">
        <v>0</v>
      </c>
      <c r="AK43">
        <v>0</v>
      </c>
      <c r="AL43">
        <v>0.22</v>
      </c>
      <c r="AM43">
        <v>0.78</v>
      </c>
      <c r="AN43">
        <v>0</v>
      </c>
      <c r="AO43">
        <v>0</v>
      </c>
      <c r="AP43">
        <v>0</v>
      </c>
    </row>
    <row r="44" spans="1:42" x14ac:dyDescent="0.25">
      <c r="A44" t="s">
        <v>3</v>
      </c>
      <c r="B44" s="1">
        <f t="shared" si="14"/>
        <v>4.0000000000000001E-3</v>
      </c>
      <c r="C44" s="1">
        <f t="shared" si="14"/>
        <v>0.72600000000000009</v>
      </c>
      <c r="D44" s="1">
        <f t="shared" si="14"/>
        <v>0.25600000000000001</v>
      </c>
      <c r="E44" s="5">
        <f t="shared" si="14"/>
        <v>0.01</v>
      </c>
      <c r="F44" s="1">
        <f t="shared" si="14"/>
        <v>0</v>
      </c>
      <c r="G44" s="1">
        <f t="shared" si="14"/>
        <v>0</v>
      </c>
      <c r="I44">
        <v>0</v>
      </c>
      <c r="J44">
        <v>0.67</v>
      </c>
      <c r="K44">
        <v>0.31</v>
      </c>
      <c r="L44">
        <v>0.01</v>
      </c>
      <c r="M44">
        <v>0</v>
      </c>
      <c r="N44">
        <v>0</v>
      </c>
      <c r="P44">
        <v>0</v>
      </c>
      <c r="Q44">
        <v>0.78</v>
      </c>
      <c r="R44">
        <v>0.21</v>
      </c>
      <c r="S44">
        <v>0</v>
      </c>
      <c r="T44">
        <v>0</v>
      </c>
      <c r="U44">
        <v>0</v>
      </c>
      <c r="W44">
        <v>0</v>
      </c>
      <c r="X44">
        <v>1</v>
      </c>
      <c r="Y44">
        <v>0</v>
      </c>
      <c r="Z44">
        <v>0</v>
      </c>
      <c r="AA44">
        <v>0</v>
      </c>
      <c r="AB44">
        <v>0</v>
      </c>
      <c r="AD44">
        <v>0.02</v>
      </c>
      <c r="AE44">
        <v>0.93</v>
      </c>
      <c r="AF44">
        <v>0.01</v>
      </c>
      <c r="AG44">
        <v>0.04</v>
      </c>
      <c r="AH44">
        <v>0</v>
      </c>
      <c r="AI44">
        <v>0</v>
      </c>
      <c r="AK44">
        <v>0</v>
      </c>
      <c r="AL44">
        <v>0.25</v>
      </c>
      <c r="AM44">
        <v>0.75</v>
      </c>
      <c r="AN44">
        <v>0</v>
      </c>
      <c r="AO44">
        <v>0</v>
      </c>
      <c r="AP44">
        <v>0</v>
      </c>
    </row>
    <row r="45" spans="1:42" x14ac:dyDescent="0.25">
      <c r="A45" t="s">
        <v>4</v>
      </c>
      <c r="B45" s="1">
        <f t="shared" si="14"/>
        <v>1.4000000000000002E-2</v>
      </c>
      <c r="C45" s="1">
        <f t="shared" si="14"/>
        <v>0.63400000000000001</v>
      </c>
      <c r="D45" s="1">
        <f t="shared" si="14"/>
        <v>0.35</v>
      </c>
      <c r="E45" s="1">
        <f t="shared" si="14"/>
        <v>0</v>
      </c>
      <c r="F45" s="5">
        <f t="shared" si="14"/>
        <v>0</v>
      </c>
      <c r="G45" s="1">
        <f t="shared" si="14"/>
        <v>2E-3</v>
      </c>
      <c r="I45">
        <v>0.01</v>
      </c>
      <c r="J45">
        <v>0.44</v>
      </c>
      <c r="K45">
        <v>0.55000000000000004</v>
      </c>
      <c r="L45">
        <v>0</v>
      </c>
      <c r="M45">
        <v>0</v>
      </c>
      <c r="N45">
        <v>0</v>
      </c>
      <c r="P45">
        <v>0.01</v>
      </c>
      <c r="Q45">
        <v>0.54</v>
      </c>
      <c r="R45">
        <v>0.45</v>
      </c>
      <c r="S45">
        <v>0</v>
      </c>
      <c r="T45">
        <v>0</v>
      </c>
      <c r="U45">
        <v>0</v>
      </c>
      <c r="W45">
        <v>0</v>
      </c>
      <c r="X45">
        <v>1</v>
      </c>
      <c r="Y45">
        <v>0</v>
      </c>
      <c r="Z45">
        <v>0</v>
      </c>
      <c r="AA45">
        <v>0</v>
      </c>
      <c r="AB45">
        <v>0</v>
      </c>
      <c r="AD45">
        <v>0.05</v>
      </c>
      <c r="AE45">
        <v>0.93</v>
      </c>
      <c r="AF45">
        <v>0.01</v>
      </c>
      <c r="AG45">
        <v>0</v>
      </c>
      <c r="AH45">
        <v>0</v>
      </c>
      <c r="AI45">
        <v>0.01</v>
      </c>
      <c r="AK45">
        <v>0</v>
      </c>
      <c r="AL45">
        <v>0.26</v>
      </c>
      <c r="AM45">
        <v>0.74</v>
      </c>
      <c r="AN45">
        <v>0</v>
      </c>
      <c r="AO45">
        <v>0</v>
      </c>
      <c r="AP45">
        <v>0</v>
      </c>
    </row>
    <row r="46" spans="1:42" x14ac:dyDescent="0.25">
      <c r="A46" t="s">
        <v>5</v>
      </c>
      <c r="B46" s="1">
        <f t="shared" si="14"/>
        <v>1.3999999999999999E-2</v>
      </c>
      <c r="C46" s="1">
        <f t="shared" si="14"/>
        <v>0.64400000000000002</v>
      </c>
      <c r="D46" s="1">
        <f t="shared" si="14"/>
        <v>0.33200000000000002</v>
      </c>
      <c r="E46" s="1">
        <f t="shared" si="14"/>
        <v>0</v>
      </c>
      <c r="F46" s="1">
        <f t="shared" si="14"/>
        <v>0</v>
      </c>
      <c r="G46" s="5">
        <f t="shared" si="14"/>
        <v>8.0000000000000002E-3</v>
      </c>
      <c r="I46">
        <v>0</v>
      </c>
      <c r="J46">
        <v>0.45</v>
      </c>
      <c r="K46">
        <v>0.55000000000000004</v>
      </c>
      <c r="L46">
        <v>0</v>
      </c>
      <c r="M46">
        <v>0</v>
      </c>
      <c r="N46">
        <v>0</v>
      </c>
      <c r="P46">
        <v>0.01</v>
      </c>
      <c r="Q46">
        <v>0.66</v>
      </c>
      <c r="R46">
        <v>0.31</v>
      </c>
      <c r="S46">
        <v>0</v>
      </c>
      <c r="T46">
        <v>0</v>
      </c>
      <c r="U46">
        <v>0.01</v>
      </c>
      <c r="W46">
        <v>0</v>
      </c>
      <c r="X46">
        <v>1</v>
      </c>
      <c r="Y46">
        <v>0</v>
      </c>
      <c r="Z46">
        <v>0</v>
      </c>
      <c r="AA46">
        <v>0</v>
      </c>
      <c r="AB46">
        <v>0</v>
      </c>
      <c r="AD46">
        <v>0.06</v>
      </c>
      <c r="AE46">
        <v>0.9</v>
      </c>
      <c r="AF46">
        <v>0.01</v>
      </c>
      <c r="AG46">
        <v>0</v>
      </c>
      <c r="AH46">
        <v>0</v>
      </c>
      <c r="AI46">
        <v>0.03</v>
      </c>
      <c r="AK46">
        <v>0</v>
      </c>
      <c r="AL46">
        <v>0.21</v>
      </c>
      <c r="AM46">
        <v>0.79</v>
      </c>
      <c r="AN46">
        <v>0</v>
      </c>
      <c r="AO46">
        <v>0</v>
      </c>
      <c r="AP46">
        <v>0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0.22600000000000003</v>
      </c>
      <c r="C48" s="1"/>
      <c r="D48" s="1"/>
      <c r="E48" s="1"/>
      <c r="F48" s="1"/>
      <c r="G48" s="1"/>
      <c r="I48">
        <v>0.25</v>
      </c>
      <c r="P48">
        <v>0.2</v>
      </c>
      <c r="W48">
        <v>0.17</v>
      </c>
      <c r="AD48">
        <v>0.28000000000000003</v>
      </c>
      <c r="AK48">
        <v>0.23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32E42-0EA9-4C31-986B-36B57F09D7D5}">
  <sheetPr codeName="Arkusz15"/>
  <dimension ref="A4:AP48"/>
  <sheetViews>
    <sheetView topLeftCell="A16" zoomScaleNormal="100" workbookViewId="0">
      <selection activeCell="B26" sqref="B26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0.74399999999999999</v>
      </c>
      <c r="C5" s="1">
        <f t="shared" ref="C5:G5" si="0">AVERAGE(J5,Q5,X5,AE5,AL5)</f>
        <v>5.800000000000001E-2</v>
      </c>
      <c r="D5" s="1">
        <f t="shared" si="0"/>
        <v>0.14799999999999999</v>
      </c>
      <c r="E5" s="1">
        <f t="shared" si="0"/>
        <v>1.6E-2</v>
      </c>
      <c r="F5" s="1">
        <f t="shared" si="0"/>
        <v>2E-3</v>
      </c>
      <c r="G5" s="1">
        <f t="shared" si="0"/>
        <v>3.5999999999999997E-2</v>
      </c>
      <c r="I5">
        <v>0.77</v>
      </c>
      <c r="J5">
        <v>0.11</v>
      </c>
      <c r="K5">
        <v>0.06</v>
      </c>
      <c r="L5">
        <v>0.02</v>
      </c>
      <c r="M5">
        <v>0</v>
      </c>
      <c r="N5">
        <v>0.03</v>
      </c>
      <c r="P5">
        <v>0.79</v>
      </c>
      <c r="Q5">
        <v>7.0000000000000007E-2</v>
      </c>
      <c r="R5">
        <v>7.0000000000000007E-2</v>
      </c>
      <c r="S5">
        <v>0.02</v>
      </c>
      <c r="T5">
        <v>0</v>
      </c>
      <c r="U5">
        <v>0.05</v>
      </c>
      <c r="W5">
        <v>0.81</v>
      </c>
      <c r="X5">
        <v>0.09</v>
      </c>
      <c r="Y5">
        <v>0.04</v>
      </c>
      <c r="Z5">
        <v>0.02</v>
      </c>
      <c r="AA5">
        <v>0</v>
      </c>
      <c r="AB5">
        <v>0.05</v>
      </c>
      <c r="AD5">
        <v>0.61</v>
      </c>
      <c r="AE5">
        <v>0.01</v>
      </c>
      <c r="AF5">
        <v>0.37</v>
      </c>
      <c r="AG5">
        <v>0</v>
      </c>
      <c r="AH5">
        <v>0</v>
      </c>
      <c r="AI5">
        <v>0.02</v>
      </c>
      <c r="AK5">
        <v>0.74</v>
      </c>
      <c r="AL5">
        <v>0.01</v>
      </c>
      <c r="AM5">
        <v>0.2</v>
      </c>
      <c r="AN5">
        <v>0.02</v>
      </c>
      <c r="AO5">
        <v>0.01</v>
      </c>
      <c r="AP5">
        <v>0.03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0.99600000000000011</v>
      </c>
      <c r="D6" s="1">
        <f t="shared" ref="D6:D10" si="2">AVERAGE(K6,R6,Y6,AF6,AM6)</f>
        <v>4.0000000000000001E-3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6.2000000000000013E-2</v>
      </c>
      <c r="D7" s="11">
        <f>AVERAGE(K7,R7,Y7,AF7,AM7)</f>
        <v>0.93399999999999994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7.0000000000000007E-2</v>
      </c>
      <c r="K7">
        <v>0.93</v>
      </c>
      <c r="L7">
        <v>0</v>
      </c>
      <c r="M7">
        <v>0</v>
      </c>
      <c r="N7">
        <v>0</v>
      </c>
      <c r="P7">
        <v>0</v>
      </c>
      <c r="Q7">
        <v>0.08</v>
      </c>
      <c r="R7">
        <v>0.92</v>
      </c>
      <c r="S7">
        <v>0</v>
      </c>
      <c r="T7">
        <v>0</v>
      </c>
      <c r="U7">
        <v>0</v>
      </c>
      <c r="W7">
        <v>0.01</v>
      </c>
      <c r="X7">
        <v>0.16</v>
      </c>
      <c r="Y7">
        <v>0.82</v>
      </c>
      <c r="Z7">
        <v>0</v>
      </c>
      <c r="AA7">
        <v>0</v>
      </c>
      <c r="AB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1.6E-2</v>
      </c>
      <c r="C8" s="1">
        <f t="shared" si="6"/>
        <v>0.16800000000000001</v>
      </c>
      <c r="D8" s="1">
        <f t="shared" si="2"/>
        <v>0.254</v>
      </c>
      <c r="E8" s="11">
        <f>AVERAGE(L8,S8,Z8,AG8,AN8)</f>
        <v>0.53400000000000003</v>
      </c>
      <c r="F8" s="1">
        <f t="shared" si="4"/>
        <v>2E-3</v>
      </c>
      <c r="G8" s="1">
        <f t="shared" si="5"/>
        <v>2.4E-2</v>
      </c>
      <c r="I8">
        <v>0.01</v>
      </c>
      <c r="J8">
        <v>0.28999999999999998</v>
      </c>
      <c r="K8">
        <v>0.08</v>
      </c>
      <c r="L8">
        <v>0.59</v>
      </c>
      <c r="M8">
        <v>0</v>
      </c>
      <c r="N8">
        <v>0.02</v>
      </c>
      <c r="P8">
        <v>0.02</v>
      </c>
      <c r="Q8">
        <v>0.2</v>
      </c>
      <c r="R8">
        <v>0.14000000000000001</v>
      </c>
      <c r="S8">
        <v>0.61</v>
      </c>
      <c r="T8">
        <v>0.01</v>
      </c>
      <c r="U8">
        <v>0.03</v>
      </c>
      <c r="W8">
        <v>0.02</v>
      </c>
      <c r="X8">
        <v>0.23</v>
      </c>
      <c r="Y8">
        <v>0.1</v>
      </c>
      <c r="Z8">
        <v>0.61</v>
      </c>
      <c r="AA8">
        <v>0</v>
      </c>
      <c r="AB8">
        <v>0.03</v>
      </c>
      <c r="AD8">
        <v>0.01</v>
      </c>
      <c r="AE8">
        <v>7.0000000000000007E-2</v>
      </c>
      <c r="AF8">
        <v>0.56999999999999995</v>
      </c>
      <c r="AG8">
        <v>0.35</v>
      </c>
      <c r="AH8">
        <v>0</v>
      </c>
      <c r="AI8">
        <v>0.01</v>
      </c>
      <c r="AK8">
        <v>0.02</v>
      </c>
      <c r="AL8">
        <v>0.05</v>
      </c>
      <c r="AM8">
        <v>0.38</v>
      </c>
      <c r="AN8">
        <v>0.51</v>
      </c>
      <c r="AO8">
        <v>0</v>
      </c>
      <c r="AP8">
        <v>0.03</v>
      </c>
    </row>
    <row r="9" spans="1:42" x14ac:dyDescent="0.25">
      <c r="A9" t="s">
        <v>4</v>
      </c>
      <c r="B9" s="1">
        <f t="shared" si="1"/>
        <v>7.5999999999999998E-2</v>
      </c>
      <c r="C9" s="1">
        <f t="shared" si="6"/>
        <v>0.26200000000000001</v>
      </c>
      <c r="D9" s="1">
        <f t="shared" si="2"/>
        <v>0.38</v>
      </c>
      <c r="E9" s="1">
        <f t="shared" si="3"/>
        <v>6.8000000000000005E-2</v>
      </c>
      <c r="F9" s="11">
        <f>AVERAGE(M9,T9,AA9,AH9,AO9)</f>
        <v>9.1999999999999998E-2</v>
      </c>
      <c r="G9" s="1">
        <f t="shared" si="5"/>
        <v>0.12</v>
      </c>
      <c r="I9">
        <v>0.09</v>
      </c>
      <c r="J9">
        <v>0.45</v>
      </c>
      <c r="K9">
        <v>0.16</v>
      </c>
      <c r="L9">
        <v>7.0000000000000007E-2</v>
      </c>
      <c r="M9">
        <v>0.11</v>
      </c>
      <c r="N9">
        <v>0.12</v>
      </c>
      <c r="P9">
        <v>0.09</v>
      </c>
      <c r="Q9">
        <v>0.3</v>
      </c>
      <c r="R9">
        <v>0.23</v>
      </c>
      <c r="S9">
        <v>0.08</v>
      </c>
      <c r="T9">
        <v>0.15</v>
      </c>
      <c r="U9">
        <v>0.14000000000000001</v>
      </c>
      <c r="W9">
        <v>0.09</v>
      </c>
      <c r="X9">
        <v>0.42</v>
      </c>
      <c r="Y9">
        <v>0.15</v>
      </c>
      <c r="Z9">
        <v>0.1</v>
      </c>
      <c r="AA9">
        <v>0.06</v>
      </c>
      <c r="AB9">
        <v>0.17</v>
      </c>
      <c r="AD9">
        <v>0.04</v>
      </c>
      <c r="AE9">
        <v>0.08</v>
      </c>
      <c r="AF9">
        <v>0.77</v>
      </c>
      <c r="AG9">
        <v>0.03</v>
      </c>
      <c r="AH9">
        <v>0.01</v>
      </c>
      <c r="AI9">
        <v>0.08</v>
      </c>
      <c r="AK9">
        <v>7.0000000000000007E-2</v>
      </c>
      <c r="AL9">
        <v>0.06</v>
      </c>
      <c r="AM9">
        <v>0.59</v>
      </c>
      <c r="AN9">
        <v>0.06</v>
      </c>
      <c r="AO9">
        <v>0.13</v>
      </c>
      <c r="AP9">
        <v>0.09</v>
      </c>
    </row>
    <row r="10" spans="1:42" x14ac:dyDescent="0.25">
      <c r="A10" t="s">
        <v>5</v>
      </c>
      <c r="B10" s="1">
        <f t="shared" si="1"/>
        <v>0.03</v>
      </c>
      <c r="C10" s="1">
        <f t="shared" si="6"/>
        <v>7.5999999999999998E-2</v>
      </c>
      <c r="D10" s="1">
        <f t="shared" si="2"/>
        <v>0.22600000000000003</v>
      </c>
      <c r="E10" s="1">
        <f t="shared" si="3"/>
        <v>8.0000000000000002E-3</v>
      </c>
      <c r="F10" s="1">
        <f t="shared" si="4"/>
        <v>2E-3</v>
      </c>
      <c r="G10" s="11">
        <f>AVERAGE(N10,U10,AB10,AI10,AP10)</f>
        <v>0.65400000000000014</v>
      </c>
      <c r="I10">
        <v>0.03</v>
      </c>
      <c r="J10">
        <v>0.15</v>
      </c>
      <c r="K10">
        <v>0.13</v>
      </c>
      <c r="L10">
        <v>0</v>
      </c>
      <c r="M10">
        <v>0</v>
      </c>
      <c r="N10">
        <v>0.68</v>
      </c>
      <c r="P10">
        <v>0.03</v>
      </c>
      <c r="Q10">
        <v>0.1</v>
      </c>
      <c r="R10">
        <v>0.13</v>
      </c>
      <c r="S10">
        <v>0.01</v>
      </c>
      <c r="T10">
        <v>0</v>
      </c>
      <c r="U10">
        <v>0.73</v>
      </c>
      <c r="W10">
        <v>0.05</v>
      </c>
      <c r="X10">
        <v>0.1</v>
      </c>
      <c r="Y10">
        <v>7.0000000000000007E-2</v>
      </c>
      <c r="Z10">
        <v>0.01</v>
      </c>
      <c r="AA10">
        <v>0.01</v>
      </c>
      <c r="AB10">
        <v>0.77</v>
      </c>
      <c r="AD10">
        <v>0.01</v>
      </c>
      <c r="AE10">
        <v>0.01</v>
      </c>
      <c r="AF10">
        <v>0.51</v>
      </c>
      <c r="AG10">
        <v>0.01</v>
      </c>
      <c r="AH10">
        <v>0</v>
      </c>
      <c r="AI10">
        <v>0.45</v>
      </c>
      <c r="AK10">
        <v>0.03</v>
      </c>
      <c r="AL10">
        <v>0.02</v>
      </c>
      <c r="AM10">
        <v>0.28999999999999998</v>
      </c>
      <c r="AN10">
        <v>0.01</v>
      </c>
      <c r="AO10">
        <v>0</v>
      </c>
      <c r="AP10">
        <v>0.64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0.65999999999999992</v>
      </c>
      <c r="C12" s="1"/>
      <c r="D12" s="1"/>
      <c r="E12" s="1"/>
      <c r="F12" s="1"/>
      <c r="G12" s="1"/>
      <c r="I12">
        <v>0.68</v>
      </c>
      <c r="J12">
        <v>2193</v>
      </c>
      <c r="P12">
        <v>0.7</v>
      </c>
      <c r="Q12">
        <v>2188</v>
      </c>
      <c r="W12">
        <v>0.68</v>
      </c>
      <c r="X12">
        <v>2189</v>
      </c>
      <c r="AD12">
        <v>0.56999999999999995</v>
      </c>
      <c r="AE12">
        <v>2191</v>
      </c>
      <c r="AK12">
        <v>0.67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0.55199999999999994</v>
      </c>
      <c r="C16" s="1">
        <f t="shared" ref="C16:C21" si="7">AVERAGE(J16,Q16,X16,AE16,AL16)</f>
        <v>6.2000000000000013E-2</v>
      </c>
      <c r="D16" s="1">
        <f t="shared" ref="D16:D21" si="8">AVERAGE(K16,R16,Y16,AF16,AM16)</f>
        <v>0.23399999999999999</v>
      </c>
      <c r="E16" s="1">
        <f t="shared" ref="E16:E21" si="9">AVERAGE(L16,S16,Z16,AG16,AN16)</f>
        <v>2.4E-2</v>
      </c>
      <c r="F16" s="1">
        <f t="shared" ref="F16:F21" si="10">AVERAGE(M16,T16,AA16,AH16,AO16)</f>
        <v>0.01</v>
      </c>
      <c r="G16" s="1">
        <f t="shared" ref="G16:G20" si="11">AVERAGE(N16,U16,AB16,AI16,AP16)</f>
        <v>0.12</v>
      </c>
      <c r="I16">
        <v>0.66</v>
      </c>
      <c r="J16">
        <v>0.09</v>
      </c>
      <c r="K16">
        <v>0.17</v>
      </c>
      <c r="L16">
        <v>0.02</v>
      </c>
      <c r="M16">
        <v>0</v>
      </c>
      <c r="N16">
        <v>0.06</v>
      </c>
      <c r="P16">
        <v>0.53</v>
      </c>
      <c r="Q16">
        <v>0.08</v>
      </c>
      <c r="R16">
        <v>0.23</v>
      </c>
      <c r="S16">
        <v>0.08</v>
      </c>
      <c r="T16">
        <v>0.03</v>
      </c>
      <c r="U16">
        <v>0.06</v>
      </c>
      <c r="W16">
        <v>0.59</v>
      </c>
      <c r="X16">
        <v>0.09</v>
      </c>
      <c r="Y16">
        <v>0.06</v>
      </c>
      <c r="Z16">
        <v>0.02</v>
      </c>
      <c r="AA16">
        <v>0</v>
      </c>
      <c r="AB16">
        <v>0.24</v>
      </c>
      <c r="AD16">
        <v>0.45</v>
      </c>
      <c r="AE16">
        <v>0.03</v>
      </c>
      <c r="AF16">
        <v>0.45</v>
      </c>
      <c r="AG16">
        <v>0</v>
      </c>
      <c r="AH16">
        <v>0</v>
      </c>
      <c r="AI16">
        <v>0.06</v>
      </c>
      <c r="AK16">
        <v>0.53</v>
      </c>
      <c r="AL16">
        <v>0.02</v>
      </c>
      <c r="AM16">
        <v>0.26</v>
      </c>
      <c r="AN16">
        <v>0</v>
      </c>
      <c r="AO16">
        <v>0.02</v>
      </c>
      <c r="AP16">
        <v>0.18</v>
      </c>
    </row>
    <row r="17" spans="1:42" x14ac:dyDescent="0.25">
      <c r="A17" t="s">
        <v>2</v>
      </c>
      <c r="B17" s="1">
        <f t="shared" ref="B17:B21" si="12">AVERAGE(I17,P17,W17,AD17,AK17)</f>
        <v>1.4000000000000002E-2</v>
      </c>
      <c r="C17" s="11">
        <f>AVERAGE(J17,Q17,X17,AE17,AL17)</f>
        <v>0.59000000000000008</v>
      </c>
      <c r="D17" s="1">
        <f t="shared" si="8"/>
        <v>0.33</v>
      </c>
      <c r="E17" s="1">
        <f t="shared" si="9"/>
        <v>5.4000000000000006E-2</v>
      </c>
      <c r="F17" s="1">
        <f t="shared" si="10"/>
        <v>1.2E-2</v>
      </c>
      <c r="G17" s="1">
        <f t="shared" si="11"/>
        <v>0</v>
      </c>
      <c r="I17">
        <v>7.0000000000000007E-2</v>
      </c>
      <c r="J17">
        <v>0.8</v>
      </c>
      <c r="K17">
        <v>7.0000000000000007E-2</v>
      </c>
      <c r="L17">
        <v>7.0000000000000007E-2</v>
      </c>
      <c r="M17">
        <v>0</v>
      </c>
      <c r="N17">
        <v>0</v>
      </c>
      <c r="P17">
        <v>0</v>
      </c>
      <c r="Q17">
        <v>0.75</v>
      </c>
      <c r="R17">
        <v>0.19</v>
      </c>
      <c r="S17">
        <v>0</v>
      </c>
      <c r="T17">
        <v>0.06</v>
      </c>
      <c r="U17">
        <v>0</v>
      </c>
      <c r="W17">
        <v>0</v>
      </c>
      <c r="X17">
        <v>0.8</v>
      </c>
      <c r="Y17">
        <v>0.13</v>
      </c>
      <c r="Z17">
        <v>7.0000000000000007E-2</v>
      </c>
      <c r="AA17">
        <v>0</v>
      </c>
      <c r="AB17">
        <v>0</v>
      </c>
      <c r="AD17">
        <v>0</v>
      </c>
      <c r="AE17">
        <v>0.27</v>
      </c>
      <c r="AF17">
        <v>0.73</v>
      </c>
      <c r="AG17">
        <v>0</v>
      </c>
      <c r="AH17">
        <v>0</v>
      </c>
      <c r="AI17">
        <v>0</v>
      </c>
      <c r="AK17">
        <v>0</v>
      </c>
      <c r="AL17">
        <v>0.33</v>
      </c>
      <c r="AM17">
        <v>0.53</v>
      </c>
      <c r="AN17">
        <v>0.13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4.2000000000000003E-2</v>
      </c>
      <c r="C18" s="1">
        <f t="shared" si="7"/>
        <v>0.28199999999999997</v>
      </c>
      <c r="D18" s="11">
        <f>AVERAGE(K18,R18,Y18,AF18,AM18)</f>
        <v>0.59199999999999997</v>
      </c>
      <c r="E18" s="1">
        <f t="shared" si="9"/>
        <v>4.3999999999999997E-2</v>
      </c>
      <c r="F18" s="1">
        <f t="shared" si="10"/>
        <v>0</v>
      </c>
      <c r="G18" s="1">
        <f t="shared" si="11"/>
        <v>3.6000000000000004E-2</v>
      </c>
      <c r="I18">
        <v>0</v>
      </c>
      <c r="J18">
        <v>0.5</v>
      </c>
      <c r="K18">
        <v>0.27</v>
      </c>
      <c r="L18">
        <v>0.09</v>
      </c>
      <c r="M18">
        <v>0</v>
      </c>
      <c r="N18">
        <v>0.14000000000000001</v>
      </c>
      <c r="P18">
        <v>0.13</v>
      </c>
      <c r="Q18">
        <v>0.3</v>
      </c>
      <c r="R18">
        <v>0.48</v>
      </c>
      <c r="S18">
        <v>0.09</v>
      </c>
      <c r="T18">
        <v>0</v>
      </c>
      <c r="U18">
        <v>0</v>
      </c>
      <c r="W18">
        <v>0.04</v>
      </c>
      <c r="X18">
        <v>0.35</v>
      </c>
      <c r="Y18">
        <v>0.52</v>
      </c>
      <c r="Z18">
        <v>0.04</v>
      </c>
      <c r="AA18">
        <v>0</v>
      </c>
      <c r="AB18">
        <v>0.04</v>
      </c>
      <c r="AD18">
        <v>0.04</v>
      </c>
      <c r="AE18">
        <v>0.17</v>
      </c>
      <c r="AF18">
        <v>0.78</v>
      </c>
      <c r="AG18">
        <v>0</v>
      </c>
      <c r="AH18">
        <v>0</v>
      </c>
      <c r="AI18">
        <v>0</v>
      </c>
      <c r="AK18">
        <v>0</v>
      </c>
      <c r="AL18">
        <v>0.09</v>
      </c>
      <c r="AM18">
        <v>0.91</v>
      </c>
      <c r="AN18">
        <v>0</v>
      </c>
      <c r="AO18">
        <v>0</v>
      </c>
      <c r="AP18">
        <v>0</v>
      </c>
    </row>
    <row r="19" spans="1:42" x14ac:dyDescent="0.25">
      <c r="A19" t="s">
        <v>3</v>
      </c>
      <c r="B19" s="1">
        <f t="shared" si="12"/>
        <v>2.4E-2</v>
      </c>
      <c r="C19" s="1">
        <f t="shared" si="7"/>
        <v>0.2</v>
      </c>
      <c r="D19" s="1">
        <f t="shared" si="8"/>
        <v>0.26800000000000002</v>
      </c>
      <c r="E19" s="11">
        <f>AVERAGE(L19,S19,Z19,AG19,AN19)</f>
        <v>0.46400000000000008</v>
      </c>
      <c r="F19" s="1">
        <f t="shared" si="10"/>
        <v>8.0000000000000002E-3</v>
      </c>
      <c r="G19" s="1">
        <f t="shared" si="11"/>
        <v>3.7999999999999992E-2</v>
      </c>
      <c r="I19">
        <v>0.05</v>
      </c>
      <c r="J19">
        <v>0.27</v>
      </c>
      <c r="K19">
        <v>0.08</v>
      </c>
      <c r="L19">
        <v>0.53</v>
      </c>
      <c r="M19">
        <v>0.02</v>
      </c>
      <c r="N19">
        <v>0.05</v>
      </c>
      <c r="P19">
        <v>0.03</v>
      </c>
      <c r="Q19">
        <v>0.26</v>
      </c>
      <c r="R19">
        <v>0.18</v>
      </c>
      <c r="S19">
        <v>0.49</v>
      </c>
      <c r="T19">
        <v>0.02</v>
      </c>
      <c r="U19">
        <v>0.04</v>
      </c>
      <c r="W19">
        <v>0.02</v>
      </c>
      <c r="X19">
        <v>0.31</v>
      </c>
      <c r="Y19">
        <v>0.12</v>
      </c>
      <c r="Z19">
        <v>0.49</v>
      </c>
      <c r="AA19">
        <v>0</v>
      </c>
      <c r="AB19">
        <v>0.06</v>
      </c>
      <c r="AD19">
        <v>0.01</v>
      </c>
      <c r="AE19">
        <v>0.1</v>
      </c>
      <c r="AF19">
        <v>0.54</v>
      </c>
      <c r="AG19">
        <v>0.33</v>
      </c>
      <c r="AH19">
        <v>0</v>
      </c>
      <c r="AI19">
        <v>0.02</v>
      </c>
      <c r="AK19">
        <v>0.01</v>
      </c>
      <c r="AL19">
        <v>0.06</v>
      </c>
      <c r="AM19">
        <v>0.42</v>
      </c>
      <c r="AN19">
        <v>0.48</v>
      </c>
      <c r="AO19">
        <v>0</v>
      </c>
      <c r="AP19">
        <v>0.02</v>
      </c>
    </row>
    <row r="20" spans="1:42" x14ac:dyDescent="0.25">
      <c r="A20" t="s">
        <v>4</v>
      </c>
      <c r="B20" s="1">
        <f t="shared" si="12"/>
        <v>0.11200000000000002</v>
      </c>
      <c r="C20" s="1">
        <f t="shared" si="7"/>
        <v>0.22600000000000003</v>
      </c>
      <c r="D20" s="1">
        <f t="shared" si="8"/>
        <v>0.34599999999999997</v>
      </c>
      <c r="E20" s="1">
        <f t="shared" si="9"/>
        <v>0.126</v>
      </c>
      <c r="F20" s="11">
        <f>AVERAGE(M20,T20,AA20,AH20,AO20)</f>
        <v>0.04</v>
      </c>
      <c r="G20" s="1">
        <f t="shared" si="11"/>
        <v>0.152</v>
      </c>
      <c r="I20">
        <v>0.16</v>
      </c>
      <c r="J20">
        <v>0.3</v>
      </c>
      <c r="K20">
        <v>0.2</v>
      </c>
      <c r="L20">
        <v>0.15</v>
      </c>
      <c r="M20">
        <v>0.02</v>
      </c>
      <c r="N20">
        <v>0.18</v>
      </c>
      <c r="P20">
        <v>0.1</v>
      </c>
      <c r="Q20">
        <v>0.33</v>
      </c>
      <c r="R20">
        <v>0.19</v>
      </c>
      <c r="S20">
        <v>0.16</v>
      </c>
      <c r="T20">
        <v>0.09</v>
      </c>
      <c r="U20">
        <v>0.14000000000000001</v>
      </c>
      <c r="W20">
        <v>0.13</v>
      </c>
      <c r="X20">
        <v>0.34</v>
      </c>
      <c r="Y20">
        <v>0.19</v>
      </c>
      <c r="Z20">
        <v>0.12</v>
      </c>
      <c r="AA20">
        <v>0.02</v>
      </c>
      <c r="AB20">
        <v>0.19</v>
      </c>
      <c r="AD20">
        <v>0.02</v>
      </c>
      <c r="AE20">
        <v>0.06</v>
      </c>
      <c r="AF20">
        <v>0.78</v>
      </c>
      <c r="AG20">
        <v>0.06</v>
      </c>
      <c r="AH20">
        <v>0</v>
      </c>
      <c r="AI20">
        <v>0.08</v>
      </c>
      <c r="AK20">
        <v>0.15</v>
      </c>
      <c r="AL20">
        <v>0.1</v>
      </c>
      <c r="AM20">
        <v>0.37</v>
      </c>
      <c r="AN20">
        <v>0.14000000000000001</v>
      </c>
      <c r="AO20">
        <v>7.0000000000000007E-2</v>
      </c>
      <c r="AP20">
        <v>0.17</v>
      </c>
    </row>
    <row r="21" spans="1:42" x14ac:dyDescent="0.25">
      <c r="A21" t="s">
        <v>5</v>
      </c>
      <c r="B21" s="1">
        <f t="shared" si="12"/>
        <v>0.11399999999999999</v>
      </c>
      <c r="C21" s="1">
        <f t="shared" si="7"/>
        <v>8.6000000000000007E-2</v>
      </c>
      <c r="D21" s="1">
        <f t="shared" si="8"/>
        <v>0.34599999999999997</v>
      </c>
      <c r="E21" s="1">
        <f t="shared" si="9"/>
        <v>2.8000000000000004E-2</v>
      </c>
      <c r="F21" s="1">
        <f t="shared" si="10"/>
        <v>2.6000000000000002E-2</v>
      </c>
      <c r="G21" s="11">
        <f>AVERAGE(N21,U21,AB21,AI21,AP21)</f>
        <v>0.39600000000000002</v>
      </c>
      <c r="I21">
        <v>0.13</v>
      </c>
      <c r="J21">
        <v>0.12</v>
      </c>
      <c r="K21">
        <v>0.18</v>
      </c>
      <c r="L21">
        <v>0.05</v>
      </c>
      <c r="M21">
        <v>0.03</v>
      </c>
      <c r="N21">
        <v>0.48</v>
      </c>
      <c r="P21">
        <v>0.2</v>
      </c>
      <c r="Q21">
        <v>0.11</v>
      </c>
      <c r="R21">
        <v>0.3</v>
      </c>
      <c r="S21">
        <v>0.03</v>
      </c>
      <c r="T21">
        <v>0</v>
      </c>
      <c r="U21">
        <v>0.36</v>
      </c>
      <c r="W21">
        <v>0.11</v>
      </c>
      <c r="X21">
        <v>0.15</v>
      </c>
      <c r="Y21">
        <v>0.18</v>
      </c>
      <c r="Z21">
        <v>0.03</v>
      </c>
      <c r="AA21">
        <v>0.05</v>
      </c>
      <c r="AB21">
        <v>0.48</v>
      </c>
      <c r="AD21">
        <v>0.03</v>
      </c>
      <c r="AE21">
        <v>0.02</v>
      </c>
      <c r="AF21">
        <v>0.67</v>
      </c>
      <c r="AG21">
        <v>0</v>
      </c>
      <c r="AH21">
        <v>0</v>
      </c>
      <c r="AI21">
        <v>0.28000000000000003</v>
      </c>
      <c r="AK21">
        <v>0.1</v>
      </c>
      <c r="AL21">
        <v>0.03</v>
      </c>
      <c r="AM21">
        <v>0.4</v>
      </c>
      <c r="AN21">
        <v>0.03</v>
      </c>
      <c r="AO21">
        <v>0.05</v>
      </c>
      <c r="AP21">
        <v>0.38</v>
      </c>
    </row>
    <row r="22" spans="1:42" x14ac:dyDescent="0.25">
      <c r="B22" s="1">
        <f>AVERAGE(B18:B21,B17)</f>
        <v>6.1200000000000011E-2</v>
      </c>
      <c r="C22" s="1">
        <f>AVERAGE(C18:C21,C16)</f>
        <v>0.17119999999999999</v>
      </c>
      <c r="D22" s="1">
        <f>AVERAGE(D16,D21,D20,D19,D17,)</f>
        <v>0.254</v>
      </c>
      <c r="E22" s="1">
        <f>AVERAGE(E16,E21,E20,E18,E17,)</f>
        <v>4.5999999999999992E-2</v>
      </c>
      <c r="F22" s="1">
        <f>AVERAGE(F16,F21,F18,F19,F17,)</f>
        <v>9.3333333333333341E-3</v>
      </c>
      <c r="G22" s="1">
        <f>AVERAGE(G16,G18,G20,G19,G17,)</f>
        <v>5.7666666666666665E-2</v>
      </c>
    </row>
    <row r="23" spans="1:42" x14ac:dyDescent="0.25">
      <c r="B23" s="11">
        <f>AVERAGE(I23,P23,W23,AD23,AK23)</f>
        <v>0.43800000000000006</v>
      </c>
      <c r="C23" s="1"/>
      <c r="D23" s="1"/>
      <c r="E23" s="1"/>
      <c r="F23" s="1"/>
      <c r="G23" s="1"/>
      <c r="I23">
        <v>0.46</v>
      </c>
      <c r="J23">
        <v>545</v>
      </c>
      <c r="P23">
        <v>0.45</v>
      </c>
      <c r="Q23">
        <v>550</v>
      </c>
      <c r="W23">
        <v>0.48</v>
      </c>
      <c r="X23">
        <v>549</v>
      </c>
      <c r="AD23">
        <v>0.35</v>
      </c>
      <c r="AE23">
        <v>547</v>
      </c>
      <c r="AK23">
        <v>0.45</v>
      </c>
      <c r="AL23">
        <v>547</v>
      </c>
    </row>
    <row r="26" spans="1:42" x14ac:dyDescent="0.25">
      <c r="B26" t="s">
        <v>20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 t="shared" ref="B30:G35" si="13">AVERAGE(I30,P30,W30,AD30,AK30)</f>
        <v>0.70399999999999996</v>
      </c>
      <c r="C30" s="1">
        <f t="shared" si="13"/>
        <v>9.1999999999999998E-2</v>
      </c>
      <c r="D30" s="1">
        <f t="shared" si="13"/>
        <v>0.16400000000000001</v>
      </c>
      <c r="E30" s="1">
        <f t="shared" si="13"/>
        <v>0.01</v>
      </c>
      <c r="F30" s="1">
        <f t="shared" si="13"/>
        <v>2E-3</v>
      </c>
      <c r="G30" s="1">
        <f t="shared" si="13"/>
        <v>3.0000000000000006E-2</v>
      </c>
      <c r="I30">
        <v>0.79</v>
      </c>
      <c r="J30">
        <v>0.14000000000000001</v>
      </c>
      <c r="K30">
        <v>0.05</v>
      </c>
      <c r="L30">
        <v>0.01</v>
      </c>
      <c r="M30">
        <v>0</v>
      </c>
      <c r="N30">
        <v>0.03</v>
      </c>
      <c r="P30">
        <v>0.57999999999999996</v>
      </c>
      <c r="Q30">
        <v>0</v>
      </c>
      <c r="R30">
        <v>0.4</v>
      </c>
      <c r="S30">
        <v>0</v>
      </c>
      <c r="T30">
        <v>0</v>
      </c>
      <c r="U30">
        <v>0.02</v>
      </c>
      <c r="W30">
        <v>0.77</v>
      </c>
      <c r="X30">
        <v>0.14000000000000001</v>
      </c>
      <c r="Y30">
        <v>0.03</v>
      </c>
      <c r="Z30">
        <v>0.01</v>
      </c>
      <c r="AA30">
        <v>0</v>
      </c>
      <c r="AB30">
        <v>0.05</v>
      </c>
      <c r="AD30">
        <v>0.78</v>
      </c>
      <c r="AE30">
        <v>0.12</v>
      </c>
      <c r="AF30">
        <v>0.01</v>
      </c>
      <c r="AG30">
        <v>0.03</v>
      </c>
      <c r="AH30">
        <v>0.01</v>
      </c>
      <c r="AI30">
        <v>0.04</v>
      </c>
      <c r="AK30">
        <v>0.6</v>
      </c>
      <c r="AL30">
        <v>0.06</v>
      </c>
      <c r="AM30">
        <v>0.33</v>
      </c>
      <c r="AN30">
        <v>0</v>
      </c>
      <c r="AO30">
        <v>0</v>
      </c>
      <c r="AP30">
        <v>0.01</v>
      </c>
    </row>
    <row r="31" spans="1:42" x14ac:dyDescent="0.25">
      <c r="A31" t="s">
        <v>2</v>
      </c>
      <c r="B31" s="1">
        <f t="shared" si="13"/>
        <v>0</v>
      </c>
      <c r="C31" s="5">
        <f t="shared" si="13"/>
        <v>0.96</v>
      </c>
      <c r="D31" s="1">
        <f t="shared" si="13"/>
        <v>0.04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0.95</v>
      </c>
      <c r="K31">
        <v>0.05</v>
      </c>
      <c r="L31">
        <v>0</v>
      </c>
      <c r="M31">
        <v>0</v>
      </c>
      <c r="N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0.85</v>
      </c>
      <c r="AM31">
        <v>0.15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 t="shared" si="13"/>
        <v>0</v>
      </c>
      <c r="C32" s="1">
        <f t="shared" si="13"/>
        <v>9.1999999999999998E-2</v>
      </c>
      <c r="D32" s="5">
        <f t="shared" si="13"/>
        <v>0.90599999999999992</v>
      </c>
      <c r="E32" s="1">
        <f t="shared" si="13"/>
        <v>0</v>
      </c>
      <c r="F32" s="1">
        <f t="shared" si="13"/>
        <v>2E-3</v>
      </c>
      <c r="G32" s="1">
        <f t="shared" si="13"/>
        <v>0</v>
      </c>
      <c r="I32">
        <v>0</v>
      </c>
      <c r="J32">
        <v>0.08</v>
      </c>
      <c r="K32">
        <v>0.92</v>
      </c>
      <c r="L32">
        <v>0</v>
      </c>
      <c r="M32">
        <v>0</v>
      </c>
      <c r="N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W32">
        <v>0</v>
      </c>
      <c r="X32">
        <v>0.16</v>
      </c>
      <c r="Y32">
        <v>0.84</v>
      </c>
      <c r="Z32">
        <v>0</v>
      </c>
      <c r="AA32">
        <v>0</v>
      </c>
      <c r="AB32">
        <v>0</v>
      </c>
      <c r="AD32">
        <v>0</v>
      </c>
      <c r="AE32">
        <v>0.22</v>
      </c>
      <c r="AF32">
        <v>0.77</v>
      </c>
      <c r="AG32">
        <v>0</v>
      </c>
      <c r="AH32">
        <v>0.01</v>
      </c>
      <c r="AI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 t="shared" si="13"/>
        <v>1.3999999999999999E-2</v>
      </c>
      <c r="C33" s="1">
        <f t="shared" si="13"/>
        <v>0.21800000000000003</v>
      </c>
      <c r="D33" s="1">
        <f t="shared" si="13"/>
        <v>0.25800000000000001</v>
      </c>
      <c r="E33" s="5">
        <f t="shared" si="13"/>
        <v>0.48399999999999999</v>
      </c>
      <c r="F33" s="1">
        <f t="shared" si="13"/>
        <v>6.0000000000000001E-3</v>
      </c>
      <c r="G33" s="1">
        <f t="shared" si="13"/>
        <v>1.9999999999999997E-2</v>
      </c>
      <c r="I33">
        <v>0.02</v>
      </c>
      <c r="J33">
        <v>0.37</v>
      </c>
      <c r="K33">
        <v>0.1</v>
      </c>
      <c r="L33">
        <v>0.48</v>
      </c>
      <c r="M33">
        <v>0.01</v>
      </c>
      <c r="N33">
        <v>0.03</v>
      </c>
      <c r="P33">
        <v>0</v>
      </c>
      <c r="Q33">
        <v>0.01</v>
      </c>
      <c r="R33">
        <v>0.61</v>
      </c>
      <c r="S33">
        <v>0.37</v>
      </c>
      <c r="T33">
        <v>0</v>
      </c>
      <c r="U33">
        <v>0.01</v>
      </c>
      <c r="W33">
        <v>0.02</v>
      </c>
      <c r="X33">
        <v>0.32</v>
      </c>
      <c r="Y33">
        <v>0.06</v>
      </c>
      <c r="Z33">
        <v>0.57999999999999996</v>
      </c>
      <c r="AA33">
        <v>0</v>
      </c>
      <c r="AB33">
        <v>0.02</v>
      </c>
      <c r="AD33">
        <v>0.02</v>
      </c>
      <c r="AE33">
        <v>0.28999999999999998</v>
      </c>
      <c r="AF33">
        <v>0.03</v>
      </c>
      <c r="AG33">
        <v>0.6</v>
      </c>
      <c r="AH33">
        <v>0.02</v>
      </c>
      <c r="AI33">
        <v>0.03</v>
      </c>
      <c r="AK33">
        <v>0.01</v>
      </c>
      <c r="AL33">
        <v>0.1</v>
      </c>
      <c r="AM33">
        <v>0.49</v>
      </c>
      <c r="AN33">
        <v>0.39</v>
      </c>
      <c r="AO33">
        <v>0</v>
      </c>
      <c r="AP33">
        <v>0.01</v>
      </c>
    </row>
    <row r="34" spans="1:42" x14ac:dyDescent="0.25">
      <c r="A34" t="s">
        <v>4</v>
      </c>
      <c r="B34" s="1">
        <f t="shared" si="13"/>
        <v>6.4000000000000001E-2</v>
      </c>
      <c r="C34" s="1">
        <f t="shared" si="13"/>
        <v>0.32400000000000001</v>
      </c>
      <c r="D34" s="1">
        <f t="shared" si="13"/>
        <v>0.376</v>
      </c>
      <c r="E34" s="1">
        <f t="shared" si="13"/>
        <v>5.2000000000000005E-2</v>
      </c>
      <c r="F34" s="5">
        <f t="shared" si="13"/>
        <v>7.5999999999999998E-2</v>
      </c>
      <c r="G34" s="1">
        <f t="shared" si="13"/>
        <v>0.10400000000000001</v>
      </c>
      <c r="I34">
        <v>0.05</v>
      </c>
      <c r="J34">
        <v>0.56000000000000005</v>
      </c>
      <c r="K34">
        <v>0.13</v>
      </c>
      <c r="L34">
        <v>0.06</v>
      </c>
      <c r="M34">
        <v>7.0000000000000007E-2</v>
      </c>
      <c r="N34">
        <v>0.13</v>
      </c>
      <c r="P34">
        <v>0.03</v>
      </c>
      <c r="Q34">
        <v>0.01</v>
      </c>
      <c r="R34">
        <v>0.86</v>
      </c>
      <c r="S34">
        <v>0.03</v>
      </c>
      <c r="T34">
        <v>0</v>
      </c>
      <c r="U34">
        <v>0.06</v>
      </c>
      <c r="W34">
        <v>0.1</v>
      </c>
      <c r="X34">
        <v>0.52</v>
      </c>
      <c r="Y34">
        <v>0.13</v>
      </c>
      <c r="Z34">
        <v>0.06</v>
      </c>
      <c r="AA34">
        <v>0.06</v>
      </c>
      <c r="AB34">
        <v>0.13</v>
      </c>
      <c r="AD34">
        <v>0.09</v>
      </c>
      <c r="AE34">
        <v>0.41</v>
      </c>
      <c r="AF34">
        <v>0.05</v>
      </c>
      <c r="AG34">
        <v>0.08</v>
      </c>
      <c r="AH34">
        <v>0.24</v>
      </c>
      <c r="AI34">
        <v>0.12</v>
      </c>
      <c r="AK34">
        <v>0.05</v>
      </c>
      <c r="AL34">
        <v>0.12</v>
      </c>
      <c r="AM34">
        <v>0.71</v>
      </c>
      <c r="AN34">
        <v>0.03</v>
      </c>
      <c r="AO34">
        <v>0.01</v>
      </c>
      <c r="AP34">
        <v>0.08</v>
      </c>
    </row>
    <row r="35" spans="1:42" x14ac:dyDescent="0.25">
      <c r="A35" t="s">
        <v>5</v>
      </c>
      <c r="B35" s="1">
        <f t="shared" si="13"/>
        <v>2.8000000000000004E-2</v>
      </c>
      <c r="C35" s="1">
        <f t="shared" si="13"/>
        <v>0.13400000000000004</v>
      </c>
      <c r="D35" s="1">
        <f t="shared" si="13"/>
        <v>0.21400000000000002</v>
      </c>
      <c r="E35" s="1">
        <f t="shared" si="13"/>
        <v>8.0000000000000002E-3</v>
      </c>
      <c r="F35" s="1">
        <f t="shared" si="13"/>
        <v>6.0000000000000001E-3</v>
      </c>
      <c r="G35" s="5">
        <f t="shared" si="13"/>
        <v>0.6100000000000001</v>
      </c>
      <c r="I35">
        <v>0.03</v>
      </c>
      <c r="J35">
        <v>0.22</v>
      </c>
      <c r="K35">
        <v>0.06</v>
      </c>
      <c r="L35">
        <v>0</v>
      </c>
      <c r="M35">
        <v>0</v>
      </c>
      <c r="N35">
        <v>0.68</v>
      </c>
      <c r="P35">
        <v>0</v>
      </c>
      <c r="Q35">
        <v>0</v>
      </c>
      <c r="R35">
        <v>0.5</v>
      </c>
      <c r="S35">
        <v>0</v>
      </c>
      <c r="T35">
        <v>0</v>
      </c>
      <c r="U35">
        <v>0.5</v>
      </c>
      <c r="W35">
        <v>0.06</v>
      </c>
      <c r="X35">
        <v>0.2</v>
      </c>
      <c r="Y35">
        <v>0.05</v>
      </c>
      <c r="Z35">
        <v>0.01</v>
      </c>
      <c r="AA35">
        <v>0.01</v>
      </c>
      <c r="AB35">
        <v>0.68</v>
      </c>
      <c r="AD35">
        <v>0.04</v>
      </c>
      <c r="AE35">
        <v>0.18</v>
      </c>
      <c r="AF35">
        <v>0.03</v>
      </c>
      <c r="AG35">
        <v>0.02</v>
      </c>
      <c r="AH35">
        <v>0.02</v>
      </c>
      <c r="AI35">
        <v>0.71</v>
      </c>
      <c r="AK35">
        <v>0.01</v>
      </c>
      <c r="AL35">
        <v>7.0000000000000007E-2</v>
      </c>
      <c r="AM35">
        <v>0.43</v>
      </c>
      <c r="AN35">
        <v>0.01</v>
      </c>
      <c r="AO35">
        <v>0</v>
      </c>
      <c r="AP35">
        <v>0.48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0.62200000000000011</v>
      </c>
      <c r="C37" s="1"/>
      <c r="D37" s="1"/>
      <c r="E37" s="1"/>
      <c r="F37" s="1"/>
      <c r="G37" s="1"/>
      <c r="I37">
        <v>0.65</v>
      </c>
      <c r="P37">
        <v>0.56999999999999995</v>
      </c>
      <c r="W37">
        <v>0.65</v>
      </c>
      <c r="AD37">
        <v>0.68</v>
      </c>
      <c r="AK37">
        <v>0.56000000000000005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 t="shared" ref="B41:G46" si="14">AVERAGE(I41,P41,W41,AD41,AK41)</f>
        <v>0.51200000000000001</v>
      </c>
      <c r="C41" s="1">
        <f t="shared" si="14"/>
        <v>0.12000000000000002</v>
      </c>
      <c r="D41" s="1">
        <f t="shared" si="14"/>
        <v>0.24399999999999999</v>
      </c>
      <c r="E41" s="1">
        <f t="shared" si="14"/>
        <v>3.0000000000000006E-2</v>
      </c>
      <c r="F41" s="1">
        <f t="shared" si="14"/>
        <v>1.4000000000000002E-2</v>
      </c>
      <c r="G41" s="1">
        <f t="shared" si="14"/>
        <v>7.7999999999999986E-2</v>
      </c>
      <c r="I41">
        <v>0.56000000000000005</v>
      </c>
      <c r="J41">
        <v>0.22</v>
      </c>
      <c r="K41">
        <v>0.11</v>
      </c>
      <c r="L41">
        <v>0.03</v>
      </c>
      <c r="M41">
        <v>0</v>
      </c>
      <c r="N41">
        <v>0.08</v>
      </c>
      <c r="P41">
        <v>0.4</v>
      </c>
      <c r="Q41">
        <v>0</v>
      </c>
      <c r="R41">
        <v>0.51</v>
      </c>
      <c r="S41">
        <v>0</v>
      </c>
      <c r="T41">
        <v>0</v>
      </c>
      <c r="U41">
        <v>0.09</v>
      </c>
      <c r="W41">
        <v>0.6</v>
      </c>
      <c r="X41">
        <v>0.22</v>
      </c>
      <c r="Y41">
        <v>7.0000000000000007E-2</v>
      </c>
      <c r="Z41">
        <v>0.04</v>
      </c>
      <c r="AA41">
        <v>0</v>
      </c>
      <c r="AB41">
        <v>7.0000000000000007E-2</v>
      </c>
      <c r="AD41">
        <v>0.61</v>
      </c>
      <c r="AE41">
        <v>0.09</v>
      </c>
      <c r="AF41">
        <v>0.05</v>
      </c>
      <c r="AG41">
        <v>0.08</v>
      </c>
      <c r="AH41">
        <v>7.0000000000000007E-2</v>
      </c>
      <c r="AI41">
        <v>0.09</v>
      </c>
      <c r="AK41">
        <v>0.39</v>
      </c>
      <c r="AL41">
        <v>7.0000000000000007E-2</v>
      </c>
      <c r="AM41">
        <v>0.48</v>
      </c>
      <c r="AN41">
        <v>0</v>
      </c>
      <c r="AO41">
        <v>0</v>
      </c>
      <c r="AP41">
        <v>0.06</v>
      </c>
    </row>
    <row r="42" spans="1:42" x14ac:dyDescent="0.25">
      <c r="A42" t="s">
        <v>2</v>
      </c>
      <c r="B42" s="1">
        <f t="shared" si="14"/>
        <v>0.01</v>
      </c>
      <c r="C42" s="5">
        <f t="shared" si="14"/>
        <v>0.60799999999999998</v>
      </c>
      <c r="D42" s="1">
        <f t="shared" si="14"/>
        <v>0.316</v>
      </c>
      <c r="E42" s="1">
        <f t="shared" si="14"/>
        <v>6.8000000000000005E-2</v>
      </c>
      <c r="F42" s="1">
        <f t="shared" si="14"/>
        <v>0</v>
      </c>
      <c r="G42" s="1">
        <f t="shared" si="14"/>
        <v>0</v>
      </c>
      <c r="I42">
        <v>0</v>
      </c>
      <c r="J42">
        <v>0.53</v>
      </c>
      <c r="K42">
        <v>0.41</v>
      </c>
      <c r="L42">
        <v>0.06</v>
      </c>
      <c r="M42">
        <v>0</v>
      </c>
      <c r="N42">
        <v>0</v>
      </c>
      <c r="P42">
        <v>0.05</v>
      </c>
      <c r="Q42">
        <v>0.3</v>
      </c>
      <c r="R42">
        <v>0.65</v>
      </c>
      <c r="S42">
        <v>0</v>
      </c>
      <c r="T42">
        <v>0</v>
      </c>
      <c r="U42">
        <v>0</v>
      </c>
      <c r="W42">
        <v>0</v>
      </c>
      <c r="X42">
        <v>0.9</v>
      </c>
      <c r="Y42">
        <v>0</v>
      </c>
      <c r="Z42">
        <v>0.1</v>
      </c>
      <c r="AA42">
        <v>0</v>
      </c>
      <c r="AB42">
        <v>0</v>
      </c>
      <c r="AD42">
        <v>0</v>
      </c>
      <c r="AE42">
        <v>0.88</v>
      </c>
      <c r="AF42">
        <v>0</v>
      </c>
      <c r="AG42">
        <v>0.13</v>
      </c>
      <c r="AH42">
        <v>0</v>
      </c>
      <c r="AI42">
        <v>0</v>
      </c>
      <c r="AK42">
        <v>0</v>
      </c>
      <c r="AL42">
        <v>0.43</v>
      </c>
      <c r="AM42">
        <v>0.52</v>
      </c>
      <c r="AN42">
        <v>0.05</v>
      </c>
      <c r="AO42">
        <v>0</v>
      </c>
      <c r="AP42">
        <v>0</v>
      </c>
    </row>
    <row r="43" spans="1:42" x14ac:dyDescent="0.25">
      <c r="A43" t="s">
        <v>1</v>
      </c>
      <c r="B43" s="1">
        <f t="shared" si="14"/>
        <v>6.0000000000000001E-3</v>
      </c>
      <c r="C43" s="1">
        <f t="shared" si="14"/>
        <v>0.44000000000000006</v>
      </c>
      <c r="D43" s="5">
        <f t="shared" si="14"/>
        <v>0.48399999999999999</v>
      </c>
      <c r="E43" s="1">
        <f t="shared" si="14"/>
        <v>0.05</v>
      </c>
      <c r="F43" s="1">
        <f t="shared" si="14"/>
        <v>0</v>
      </c>
      <c r="G43" s="1">
        <f t="shared" si="14"/>
        <v>1.7999999999999999E-2</v>
      </c>
      <c r="I43">
        <v>0.03</v>
      </c>
      <c r="J43">
        <v>0.5</v>
      </c>
      <c r="K43">
        <v>0.4</v>
      </c>
      <c r="L43">
        <v>0.03</v>
      </c>
      <c r="M43">
        <v>0</v>
      </c>
      <c r="N43">
        <v>0.03</v>
      </c>
      <c r="P43">
        <v>0</v>
      </c>
      <c r="Q43">
        <v>0.08</v>
      </c>
      <c r="R43">
        <v>0.92</v>
      </c>
      <c r="S43">
        <v>0</v>
      </c>
      <c r="T43">
        <v>0</v>
      </c>
      <c r="U43">
        <v>0</v>
      </c>
      <c r="W43">
        <v>0</v>
      </c>
      <c r="X43">
        <v>0.53</v>
      </c>
      <c r="Y43">
        <v>0.28999999999999998</v>
      </c>
      <c r="Z43">
        <v>0.12</v>
      </c>
      <c r="AA43">
        <v>0</v>
      </c>
      <c r="AB43">
        <v>0.06</v>
      </c>
      <c r="AD43">
        <v>0</v>
      </c>
      <c r="AE43">
        <v>0.83</v>
      </c>
      <c r="AF43">
        <v>0.11</v>
      </c>
      <c r="AG43">
        <v>0.06</v>
      </c>
      <c r="AH43">
        <v>0</v>
      </c>
      <c r="AI43">
        <v>0</v>
      </c>
      <c r="AK43">
        <v>0</v>
      </c>
      <c r="AL43">
        <v>0.26</v>
      </c>
      <c r="AM43">
        <v>0.7</v>
      </c>
      <c r="AN43">
        <v>0.04</v>
      </c>
      <c r="AO43">
        <v>0</v>
      </c>
      <c r="AP43">
        <v>0</v>
      </c>
    </row>
    <row r="44" spans="1:42" x14ac:dyDescent="0.25">
      <c r="A44" t="s">
        <v>3</v>
      </c>
      <c r="B44" s="1">
        <f t="shared" si="14"/>
        <v>2.1999999999999999E-2</v>
      </c>
      <c r="C44" s="1">
        <f t="shared" si="14"/>
        <v>0.252</v>
      </c>
      <c r="D44" s="1">
        <f t="shared" si="14"/>
        <v>0.28399999999999997</v>
      </c>
      <c r="E44" s="5">
        <f t="shared" si="14"/>
        <v>0.40599999999999997</v>
      </c>
      <c r="F44" s="1">
        <f t="shared" si="14"/>
        <v>6.0000000000000001E-3</v>
      </c>
      <c r="G44" s="1">
        <f t="shared" si="14"/>
        <v>2.7999999999999997E-2</v>
      </c>
      <c r="I44">
        <v>0.03</v>
      </c>
      <c r="J44">
        <v>0.41</v>
      </c>
      <c r="K44">
        <v>0.13</v>
      </c>
      <c r="L44">
        <v>0.39</v>
      </c>
      <c r="M44">
        <v>0</v>
      </c>
      <c r="N44">
        <v>0.03</v>
      </c>
      <c r="P44">
        <v>0.01</v>
      </c>
      <c r="Q44">
        <v>0.02</v>
      </c>
      <c r="R44">
        <v>0.63</v>
      </c>
      <c r="S44">
        <v>0.34</v>
      </c>
      <c r="T44">
        <v>0</v>
      </c>
      <c r="U44">
        <v>0.01</v>
      </c>
      <c r="W44">
        <v>0.03</v>
      </c>
      <c r="X44">
        <v>0.41</v>
      </c>
      <c r="Y44">
        <v>0.08</v>
      </c>
      <c r="Z44">
        <v>0.44</v>
      </c>
      <c r="AA44">
        <v>0</v>
      </c>
      <c r="AB44">
        <v>0.04</v>
      </c>
      <c r="AD44">
        <v>0.03</v>
      </c>
      <c r="AE44">
        <v>0.32</v>
      </c>
      <c r="AF44">
        <v>0.05</v>
      </c>
      <c r="AG44">
        <v>0.53</v>
      </c>
      <c r="AH44">
        <v>0.03</v>
      </c>
      <c r="AI44">
        <v>0.04</v>
      </c>
      <c r="AK44">
        <v>0.01</v>
      </c>
      <c r="AL44">
        <v>0.1</v>
      </c>
      <c r="AM44">
        <v>0.53</v>
      </c>
      <c r="AN44">
        <v>0.33</v>
      </c>
      <c r="AO44">
        <v>0</v>
      </c>
      <c r="AP44">
        <v>0.02</v>
      </c>
    </row>
    <row r="45" spans="1:42" x14ac:dyDescent="0.25">
      <c r="A45" t="s">
        <v>4</v>
      </c>
      <c r="B45" s="1">
        <f t="shared" si="14"/>
        <v>9.1999999999999998E-2</v>
      </c>
      <c r="C45" s="1">
        <f t="shared" si="14"/>
        <v>0.27799999999999991</v>
      </c>
      <c r="D45" s="1">
        <f t="shared" si="14"/>
        <v>0.374</v>
      </c>
      <c r="E45" s="1">
        <f t="shared" si="14"/>
        <v>9.4E-2</v>
      </c>
      <c r="F45" s="5">
        <f t="shared" si="14"/>
        <v>3.0000000000000006E-2</v>
      </c>
      <c r="G45" s="1">
        <f t="shared" si="14"/>
        <v>0.13600000000000001</v>
      </c>
      <c r="I45">
        <v>0.1</v>
      </c>
      <c r="J45">
        <v>0.45</v>
      </c>
      <c r="K45">
        <v>0.17</v>
      </c>
      <c r="L45">
        <v>0.11</v>
      </c>
      <c r="M45">
        <v>0.01</v>
      </c>
      <c r="N45">
        <v>0.17</v>
      </c>
      <c r="P45">
        <v>0.05</v>
      </c>
      <c r="Q45">
        <v>0.03</v>
      </c>
      <c r="R45">
        <v>0.73</v>
      </c>
      <c r="S45">
        <v>7.0000000000000007E-2</v>
      </c>
      <c r="T45">
        <v>0</v>
      </c>
      <c r="U45">
        <v>0.12</v>
      </c>
      <c r="W45">
        <v>0.12</v>
      </c>
      <c r="X45">
        <v>0.41</v>
      </c>
      <c r="Y45">
        <v>0.18</v>
      </c>
      <c r="Z45">
        <v>0.09</v>
      </c>
      <c r="AA45">
        <v>0.03</v>
      </c>
      <c r="AB45">
        <v>0.18</v>
      </c>
      <c r="AD45">
        <v>0.15</v>
      </c>
      <c r="AE45">
        <v>0.37</v>
      </c>
      <c r="AF45">
        <v>0.1</v>
      </c>
      <c r="AG45">
        <v>0.16</v>
      </c>
      <c r="AH45">
        <v>0.1</v>
      </c>
      <c r="AI45">
        <v>0.12</v>
      </c>
      <c r="AK45">
        <v>0.04</v>
      </c>
      <c r="AL45">
        <v>0.13</v>
      </c>
      <c r="AM45">
        <v>0.69</v>
      </c>
      <c r="AN45">
        <v>0.04</v>
      </c>
      <c r="AO45">
        <v>0.01</v>
      </c>
      <c r="AP45">
        <v>0.09</v>
      </c>
    </row>
    <row r="46" spans="1:42" x14ac:dyDescent="0.25">
      <c r="A46" t="s">
        <v>5</v>
      </c>
      <c r="B46" s="1">
        <f t="shared" si="14"/>
        <v>0.126</v>
      </c>
      <c r="C46" s="1">
        <f t="shared" si="14"/>
        <v>0.16200000000000001</v>
      </c>
      <c r="D46" s="1">
        <f t="shared" si="14"/>
        <v>0.30999999999999994</v>
      </c>
      <c r="E46" s="1">
        <f t="shared" si="14"/>
        <v>3.7999999999999999E-2</v>
      </c>
      <c r="F46" s="1">
        <f t="shared" si="14"/>
        <v>3.0000000000000006E-2</v>
      </c>
      <c r="G46" s="5">
        <f t="shared" si="14"/>
        <v>0.33800000000000002</v>
      </c>
      <c r="I46">
        <v>0.15</v>
      </c>
      <c r="J46">
        <v>0.33</v>
      </c>
      <c r="K46">
        <v>0.09</v>
      </c>
      <c r="L46">
        <v>0.05</v>
      </c>
      <c r="M46">
        <v>0.04</v>
      </c>
      <c r="N46">
        <v>0.35</v>
      </c>
      <c r="P46">
        <v>0.09</v>
      </c>
      <c r="Q46">
        <v>0</v>
      </c>
      <c r="R46">
        <v>0.63</v>
      </c>
      <c r="S46">
        <v>0.06</v>
      </c>
      <c r="T46">
        <v>0</v>
      </c>
      <c r="U46">
        <v>0.22</v>
      </c>
      <c r="W46">
        <v>0.18</v>
      </c>
      <c r="X46">
        <v>0.16</v>
      </c>
      <c r="Y46">
        <v>0.12</v>
      </c>
      <c r="Z46">
        <v>0.04</v>
      </c>
      <c r="AA46">
        <v>0.04</v>
      </c>
      <c r="AB46">
        <v>0.47</v>
      </c>
      <c r="AD46">
        <v>0.16</v>
      </c>
      <c r="AE46">
        <v>0.27</v>
      </c>
      <c r="AF46">
        <v>7.0000000000000007E-2</v>
      </c>
      <c r="AG46">
        <v>0.04</v>
      </c>
      <c r="AH46">
        <v>7.0000000000000007E-2</v>
      </c>
      <c r="AI46">
        <v>0.39</v>
      </c>
      <c r="AK46">
        <v>0.05</v>
      </c>
      <c r="AL46">
        <v>0.05</v>
      </c>
      <c r="AM46">
        <v>0.64</v>
      </c>
      <c r="AN46">
        <v>0</v>
      </c>
      <c r="AO46">
        <v>0</v>
      </c>
      <c r="AP46">
        <v>0.26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0.39600000000000002</v>
      </c>
      <c r="C48" s="1"/>
      <c r="D48" s="1"/>
      <c r="E48" s="1"/>
      <c r="F48" s="1"/>
      <c r="G48" s="1"/>
      <c r="I48">
        <v>0.37</v>
      </c>
      <c r="P48">
        <v>0.36</v>
      </c>
      <c r="W48">
        <v>0.46</v>
      </c>
      <c r="AD48">
        <v>0.44</v>
      </c>
      <c r="AK48">
        <v>0.35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9EA3-8709-4369-A5D9-49A498CB0AE9}">
  <sheetPr codeName="Arkusz16"/>
  <dimension ref="A4:AP47"/>
  <sheetViews>
    <sheetView topLeftCell="A10" workbookViewId="0">
      <selection activeCell="I27" sqref="I27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0.78200000000000003</v>
      </c>
      <c r="C5" s="1">
        <f t="shared" ref="C5:G5" si="0">AVERAGE(J5,Q5,X5,AE5,AL5)</f>
        <v>4.8000000000000001E-2</v>
      </c>
      <c r="D5" s="1">
        <f t="shared" si="0"/>
        <v>0.1</v>
      </c>
      <c r="E5" s="1">
        <f t="shared" si="0"/>
        <v>1.7999999999999999E-2</v>
      </c>
      <c r="F5" s="1">
        <f t="shared" si="0"/>
        <v>0</v>
      </c>
      <c r="G5" s="1">
        <f t="shared" si="0"/>
        <v>5.2000000000000005E-2</v>
      </c>
      <c r="I5">
        <v>0.69</v>
      </c>
      <c r="J5">
        <v>0.03</v>
      </c>
      <c r="K5">
        <v>0.23</v>
      </c>
      <c r="L5">
        <v>0</v>
      </c>
      <c r="M5">
        <v>0</v>
      </c>
      <c r="N5">
        <v>0.04</v>
      </c>
      <c r="P5">
        <v>0.78</v>
      </c>
      <c r="Q5">
        <v>0.02</v>
      </c>
      <c r="R5">
        <v>0.13</v>
      </c>
      <c r="S5">
        <v>0.02</v>
      </c>
      <c r="T5">
        <v>0</v>
      </c>
      <c r="U5">
        <v>0.05</v>
      </c>
      <c r="W5">
        <v>0.89</v>
      </c>
      <c r="X5">
        <v>0.03</v>
      </c>
      <c r="Y5">
        <v>0.02</v>
      </c>
      <c r="Z5">
        <v>0.02</v>
      </c>
      <c r="AA5">
        <v>0</v>
      </c>
      <c r="AB5">
        <v>0.05</v>
      </c>
      <c r="AD5">
        <v>0.81</v>
      </c>
      <c r="AE5">
        <v>0.08</v>
      </c>
      <c r="AF5">
        <v>0.01</v>
      </c>
      <c r="AG5">
        <v>0.02</v>
      </c>
      <c r="AH5">
        <v>0</v>
      </c>
      <c r="AI5">
        <v>0.08</v>
      </c>
      <c r="AK5">
        <v>0.74</v>
      </c>
      <c r="AL5">
        <v>0.08</v>
      </c>
      <c r="AM5">
        <v>0.11</v>
      </c>
      <c r="AN5">
        <v>0.03</v>
      </c>
      <c r="AO5">
        <v>0</v>
      </c>
      <c r="AP5">
        <v>0.04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0.99199999999999999</v>
      </c>
      <c r="D6" s="1">
        <f t="shared" ref="D6:D10" si="2">AVERAGE(K6,R6,Y6,AF6,AM6)</f>
        <v>8.0000000000000002E-3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0.98</v>
      </c>
      <c r="AM6">
        <v>0.02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2.6000000000000002E-2</v>
      </c>
      <c r="D7" s="11">
        <f>AVERAGE(K7,R7,Y7,AF7,AM7)</f>
        <v>0.97399999999999998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0.08</v>
      </c>
      <c r="Y7">
        <v>0.92</v>
      </c>
      <c r="Z7">
        <v>0</v>
      </c>
      <c r="AA7">
        <v>0</v>
      </c>
      <c r="AB7">
        <v>0</v>
      </c>
      <c r="AD7">
        <v>0</v>
      </c>
      <c r="AE7">
        <v>0.05</v>
      </c>
      <c r="AF7">
        <v>0.95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1.7999999999999999E-2</v>
      </c>
      <c r="C8" s="1">
        <f t="shared" si="6"/>
        <v>0.156</v>
      </c>
      <c r="D8" s="1">
        <f t="shared" si="2"/>
        <v>0.21999999999999997</v>
      </c>
      <c r="E8" s="11">
        <f>AVERAGE(L8,S8,Z8,AG8,AN8)</f>
        <v>0.56200000000000006</v>
      </c>
      <c r="F8" s="1">
        <f t="shared" si="4"/>
        <v>6.0000000000000001E-3</v>
      </c>
      <c r="G8" s="1">
        <f t="shared" si="5"/>
        <v>3.4000000000000002E-2</v>
      </c>
      <c r="I8">
        <v>0.01</v>
      </c>
      <c r="J8">
        <v>0.16</v>
      </c>
      <c r="K8">
        <v>0.36</v>
      </c>
      <c r="L8">
        <v>0.45</v>
      </c>
      <c r="M8">
        <v>0</v>
      </c>
      <c r="N8">
        <v>0.02</v>
      </c>
      <c r="P8">
        <v>0.02</v>
      </c>
      <c r="Q8">
        <v>0.08</v>
      </c>
      <c r="R8">
        <v>0.3</v>
      </c>
      <c r="S8">
        <v>0.57999999999999996</v>
      </c>
      <c r="T8">
        <v>0</v>
      </c>
      <c r="U8">
        <v>0.02</v>
      </c>
      <c r="W8">
        <v>0.02</v>
      </c>
      <c r="X8">
        <v>0.16</v>
      </c>
      <c r="Y8">
        <v>0.09</v>
      </c>
      <c r="Z8">
        <v>0.65</v>
      </c>
      <c r="AA8">
        <v>0.02</v>
      </c>
      <c r="AB8">
        <v>0.05</v>
      </c>
      <c r="AD8">
        <v>0.03</v>
      </c>
      <c r="AE8">
        <v>0.26</v>
      </c>
      <c r="AF8">
        <v>0.08</v>
      </c>
      <c r="AG8">
        <v>0.57999999999999996</v>
      </c>
      <c r="AH8">
        <v>0.01</v>
      </c>
      <c r="AI8">
        <v>0.04</v>
      </c>
      <c r="AK8">
        <v>0.01</v>
      </c>
      <c r="AL8">
        <v>0.12</v>
      </c>
      <c r="AM8">
        <v>0.27</v>
      </c>
      <c r="AN8">
        <v>0.55000000000000004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8.5999999999999993E-2</v>
      </c>
      <c r="C9" s="1">
        <f t="shared" si="6"/>
        <v>0.23199999999999998</v>
      </c>
      <c r="D9" s="1">
        <f t="shared" si="2"/>
        <v>0.35000000000000003</v>
      </c>
      <c r="E9" s="1">
        <f t="shared" si="3"/>
        <v>8.2000000000000003E-2</v>
      </c>
      <c r="F9" s="11">
        <f>AVERAGE(M9,T9,AA9,AH9,AO9)</f>
        <v>0.11000000000000001</v>
      </c>
      <c r="G9" s="1">
        <f t="shared" si="5"/>
        <v>0.14199999999999999</v>
      </c>
      <c r="I9">
        <v>7.0000000000000007E-2</v>
      </c>
      <c r="J9">
        <v>0.19</v>
      </c>
      <c r="K9">
        <v>0.56000000000000005</v>
      </c>
      <c r="L9">
        <v>0.04</v>
      </c>
      <c r="M9">
        <v>0.02</v>
      </c>
      <c r="N9">
        <v>0.12</v>
      </c>
      <c r="P9">
        <v>0.08</v>
      </c>
      <c r="Q9">
        <v>0.15</v>
      </c>
      <c r="R9">
        <v>0.52</v>
      </c>
      <c r="S9">
        <v>7.0000000000000007E-2</v>
      </c>
      <c r="T9">
        <v>7.0000000000000007E-2</v>
      </c>
      <c r="U9">
        <v>0.12</v>
      </c>
      <c r="W9">
        <v>0.1</v>
      </c>
      <c r="X9">
        <v>0.25</v>
      </c>
      <c r="Y9">
        <v>0.12</v>
      </c>
      <c r="Z9">
        <v>0.11</v>
      </c>
      <c r="AA9">
        <v>0.23</v>
      </c>
      <c r="AB9">
        <v>0.18</v>
      </c>
      <c r="AD9">
        <v>0.11</v>
      </c>
      <c r="AE9">
        <v>0.35</v>
      </c>
      <c r="AF9">
        <v>0.14000000000000001</v>
      </c>
      <c r="AG9">
        <v>0.11</v>
      </c>
      <c r="AH9">
        <v>0.14000000000000001</v>
      </c>
      <c r="AI9">
        <v>0.16</v>
      </c>
      <c r="AK9">
        <v>7.0000000000000007E-2</v>
      </c>
      <c r="AL9">
        <v>0.22</v>
      </c>
      <c r="AM9">
        <v>0.41</v>
      </c>
      <c r="AN9">
        <v>0.08</v>
      </c>
      <c r="AO9">
        <v>0.09</v>
      </c>
      <c r="AP9">
        <v>0.13</v>
      </c>
    </row>
    <row r="10" spans="1:42" x14ac:dyDescent="0.25">
      <c r="A10" t="s">
        <v>5</v>
      </c>
      <c r="B10" s="1">
        <f t="shared" si="1"/>
        <v>3.6000000000000004E-2</v>
      </c>
      <c r="C10" s="1">
        <f t="shared" si="6"/>
        <v>6.6000000000000003E-2</v>
      </c>
      <c r="D10" s="1">
        <f t="shared" si="2"/>
        <v>0.15400000000000003</v>
      </c>
      <c r="E10" s="1">
        <f t="shared" si="3"/>
        <v>0.01</v>
      </c>
      <c r="F10" s="1">
        <f t="shared" si="4"/>
        <v>0</v>
      </c>
      <c r="G10" s="11">
        <f>AVERAGE(N10,U10,AB10,AI10,AP10)</f>
        <v>0.73199999999999998</v>
      </c>
      <c r="I10">
        <v>0.01</v>
      </c>
      <c r="J10">
        <v>0.05</v>
      </c>
      <c r="K10">
        <v>0.31</v>
      </c>
      <c r="L10">
        <v>0</v>
      </c>
      <c r="M10">
        <v>0</v>
      </c>
      <c r="N10">
        <v>0.63</v>
      </c>
      <c r="P10">
        <v>0.03</v>
      </c>
      <c r="Q10">
        <v>0.02</v>
      </c>
      <c r="R10">
        <v>0.22</v>
      </c>
      <c r="S10">
        <v>0.01</v>
      </c>
      <c r="T10">
        <v>0</v>
      </c>
      <c r="U10">
        <v>0.71</v>
      </c>
      <c r="W10">
        <v>0.06</v>
      </c>
      <c r="X10">
        <v>0.05</v>
      </c>
      <c r="Y10">
        <v>0.04</v>
      </c>
      <c r="Z10">
        <v>0.02</v>
      </c>
      <c r="AA10">
        <v>0</v>
      </c>
      <c r="AB10">
        <v>0.83</v>
      </c>
      <c r="AD10">
        <v>0.05</v>
      </c>
      <c r="AE10">
        <v>0.14000000000000001</v>
      </c>
      <c r="AF10">
        <v>0.03</v>
      </c>
      <c r="AG10">
        <v>0.01</v>
      </c>
      <c r="AH10">
        <v>0</v>
      </c>
      <c r="AI10">
        <v>0.77</v>
      </c>
      <c r="AK10">
        <v>0.03</v>
      </c>
      <c r="AL10">
        <v>7.0000000000000007E-2</v>
      </c>
      <c r="AM10">
        <v>0.17</v>
      </c>
      <c r="AN10">
        <v>0.01</v>
      </c>
      <c r="AO10">
        <v>0</v>
      </c>
      <c r="AP10">
        <v>0.72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0.69199999999999995</v>
      </c>
      <c r="C12" s="1"/>
      <c r="D12" s="1"/>
      <c r="E12" s="1"/>
      <c r="F12" s="1"/>
      <c r="G12" s="1"/>
      <c r="I12">
        <v>0.63</v>
      </c>
      <c r="J12">
        <v>2177</v>
      </c>
      <c r="P12">
        <v>0.69</v>
      </c>
      <c r="Q12">
        <v>2172</v>
      </c>
      <c r="W12">
        <v>0.75</v>
      </c>
      <c r="X12">
        <v>2173</v>
      </c>
      <c r="AD12">
        <v>0.71</v>
      </c>
      <c r="AE12">
        <v>2175</v>
      </c>
      <c r="AK12">
        <v>0.68</v>
      </c>
      <c r="AL12">
        <v>2175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0.57599999999999996</v>
      </c>
      <c r="C16" s="1">
        <f t="shared" ref="C16:C21" si="7">AVERAGE(J16,Q16,X16,AE16,AL16)</f>
        <v>8.5999999999999993E-2</v>
      </c>
      <c r="D16" s="1">
        <f t="shared" ref="D16:D21" si="8">AVERAGE(K16,R16,Y16,AF16,AM16)</f>
        <v>0.13600000000000001</v>
      </c>
      <c r="E16" s="1">
        <f t="shared" ref="E16:E21" si="9">AVERAGE(L16,S16,Z16,AG16,AN16)</f>
        <v>6.3999999999999987E-2</v>
      </c>
      <c r="F16" s="1">
        <f t="shared" ref="F16:F21" si="10">AVERAGE(M16,T16,AA16,AH16,AO16)</f>
        <v>1.4000000000000002E-2</v>
      </c>
      <c r="G16" s="1">
        <f t="shared" ref="G16:G20" si="11">AVERAGE(N16,U16,AB16,AI16,AP16)</f>
        <v>0.12999999999999998</v>
      </c>
      <c r="I16">
        <v>0.49</v>
      </c>
      <c r="J16">
        <v>0.06</v>
      </c>
      <c r="K16">
        <v>0.23</v>
      </c>
      <c r="L16">
        <v>0.02</v>
      </c>
      <c r="M16">
        <v>0.02</v>
      </c>
      <c r="N16">
        <v>0.18</v>
      </c>
      <c r="P16">
        <v>0.62</v>
      </c>
      <c r="Q16">
        <v>0.08</v>
      </c>
      <c r="R16">
        <v>0.2</v>
      </c>
      <c r="S16">
        <v>0.05</v>
      </c>
      <c r="T16">
        <v>0</v>
      </c>
      <c r="U16">
        <v>0.06</v>
      </c>
      <c r="W16">
        <v>0.53</v>
      </c>
      <c r="X16">
        <v>0.06</v>
      </c>
      <c r="Y16">
        <v>0.06</v>
      </c>
      <c r="Z16">
        <v>0.11</v>
      </c>
      <c r="AA16">
        <v>0.03</v>
      </c>
      <c r="AB16">
        <v>0.21</v>
      </c>
      <c r="AD16">
        <v>0.62</v>
      </c>
      <c r="AE16">
        <v>0.12</v>
      </c>
      <c r="AF16">
        <v>0.02</v>
      </c>
      <c r="AG16">
        <v>0.11</v>
      </c>
      <c r="AH16">
        <v>0.02</v>
      </c>
      <c r="AI16">
        <v>0.12</v>
      </c>
      <c r="AK16">
        <v>0.62</v>
      </c>
      <c r="AL16">
        <v>0.11</v>
      </c>
      <c r="AM16">
        <v>0.17</v>
      </c>
      <c r="AN16">
        <v>0.03</v>
      </c>
      <c r="AO16">
        <v>0</v>
      </c>
      <c r="AP16">
        <v>0.08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11">
        <f>AVERAGE(J17,Q17,X17,AE17,AL17)</f>
        <v>0.51400000000000001</v>
      </c>
      <c r="D17" s="1">
        <f t="shared" si="8"/>
        <v>0.36599999999999999</v>
      </c>
      <c r="E17" s="1">
        <f t="shared" si="9"/>
        <v>0.08</v>
      </c>
      <c r="F17" s="1">
        <f t="shared" si="10"/>
        <v>0</v>
      </c>
      <c r="G17" s="1">
        <f t="shared" si="11"/>
        <v>1.4000000000000002E-2</v>
      </c>
      <c r="I17">
        <v>7.0000000000000007E-2</v>
      </c>
      <c r="J17">
        <v>0.53</v>
      </c>
      <c r="K17">
        <v>0.27</v>
      </c>
      <c r="L17">
        <v>0.13</v>
      </c>
      <c r="M17">
        <v>0</v>
      </c>
      <c r="N17">
        <v>0</v>
      </c>
      <c r="P17">
        <v>0</v>
      </c>
      <c r="Q17">
        <v>0.44</v>
      </c>
      <c r="R17">
        <v>0.56000000000000005</v>
      </c>
      <c r="S17">
        <v>0</v>
      </c>
      <c r="T17">
        <v>0</v>
      </c>
      <c r="U17">
        <v>0</v>
      </c>
      <c r="W17">
        <v>7.0000000000000007E-2</v>
      </c>
      <c r="X17">
        <v>0.67</v>
      </c>
      <c r="Y17">
        <v>7.0000000000000007E-2</v>
      </c>
      <c r="Z17">
        <v>0.2</v>
      </c>
      <c r="AA17">
        <v>0</v>
      </c>
      <c r="AB17">
        <v>0</v>
      </c>
      <c r="AD17">
        <v>0</v>
      </c>
      <c r="AE17">
        <v>0.53</v>
      </c>
      <c r="AF17">
        <v>0.33</v>
      </c>
      <c r="AG17">
        <v>7.0000000000000007E-2</v>
      </c>
      <c r="AH17">
        <v>0</v>
      </c>
      <c r="AI17">
        <v>7.0000000000000007E-2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4.3999999999999997E-2</v>
      </c>
      <c r="C18" s="1">
        <f t="shared" si="7"/>
        <v>0.31799999999999995</v>
      </c>
      <c r="D18" s="11">
        <f>AVERAGE(K18,R18,Y18,AF18,AM18)</f>
        <v>0.52400000000000002</v>
      </c>
      <c r="E18" s="1">
        <f t="shared" si="9"/>
        <v>6.4000000000000001E-2</v>
      </c>
      <c r="F18" s="1">
        <f t="shared" si="10"/>
        <v>4.2000000000000003E-2</v>
      </c>
      <c r="G18" s="1">
        <f t="shared" si="11"/>
        <v>0.01</v>
      </c>
      <c r="I18">
        <v>0</v>
      </c>
      <c r="J18">
        <v>0.11</v>
      </c>
      <c r="K18">
        <v>0.83</v>
      </c>
      <c r="L18">
        <v>0.06</v>
      </c>
      <c r="M18">
        <v>0</v>
      </c>
      <c r="N18">
        <v>0</v>
      </c>
      <c r="P18">
        <v>0.11</v>
      </c>
      <c r="Q18">
        <v>0.26</v>
      </c>
      <c r="R18">
        <v>0.53</v>
      </c>
      <c r="S18">
        <v>0.05</v>
      </c>
      <c r="T18">
        <v>0</v>
      </c>
      <c r="U18">
        <v>0.05</v>
      </c>
      <c r="W18">
        <v>0</v>
      </c>
      <c r="X18">
        <v>0.53</v>
      </c>
      <c r="Y18">
        <v>0.26</v>
      </c>
      <c r="Z18">
        <v>0.05</v>
      </c>
      <c r="AA18">
        <v>0.16</v>
      </c>
      <c r="AB18">
        <v>0</v>
      </c>
      <c r="AD18">
        <v>0.11</v>
      </c>
      <c r="AE18">
        <v>0.32</v>
      </c>
      <c r="AF18">
        <v>0.47</v>
      </c>
      <c r="AG18">
        <v>0.11</v>
      </c>
      <c r="AH18">
        <v>0</v>
      </c>
      <c r="AI18">
        <v>0</v>
      </c>
      <c r="AK18">
        <v>0</v>
      </c>
      <c r="AL18">
        <v>0.37</v>
      </c>
      <c r="AM18">
        <v>0.53</v>
      </c>
      <c r="AN18">
        <v>0.05</v>
      </c>
      <c r="AO18">
        <v>0.05</v>
      </c>
      <c r="AP18">
        <v>0</v>
      </c>
    </row>
    <row r="19" spans="1:42" x14ac:dyDescent="0.25">
      <c r="A19" t="s">
        <v>3</v>
      </c>
      <c r="B19" s="1">
        <f t="shared" si="12"/>
        <v>2.8000000000000004E-2</v>
      </c>
      <c r="C19" s="1">
        <f t="shared" si="7"/>
        <v>0.16999999999999998</v>
      </c>
      <c r="D19" s="1">
        <f t="shared" si="8"/>
        <v>0.252</v>
      </c>
      <c r="E19" s="11">
        <f>AVERAGE(L19,S19,Z19,AG19,AN19)</f>
        <v>0.49199999999999999</v>
      </c>
      <c r="F19" s="1">
        <f t="shared" si="10"/>
        <v>1.2E-2</v>
      </c>
      <c r="G19" s="1">
        <f t="shared" si="11"/>
        <v>4.4000000000000004E-2</v>
      </c>
      <c r="I19">
        <v>0.02</v>
      </c>
      <c r="J19">
        <v>0.18</v>
      </c>
      <c r="K19">
        <v>0.43</v>
      </c>
      <c r="L19">
        <v>0.34</v>
      </c>
      <c r="M19">
        <v>0</v>
      </c>
      <c r="N19">
        <v>0.03</v>
      </c>
      <c r="P19">
        <v>0.02</v>
      </c>
      <c r="Q19">
        <v>0.11</v>
      </c>
      <c r="R19">
        <v>0.36</v>
      </c>
      <c r="S19">
        <v>0.47</v>
      </c>
      <c r="T19">
        <v>0.01</v>
      </c>
      <c r="U19">
        <v>0.03</v>
      </c>
      <c r="W19">
        <v>0.04</v>
      </c>
      <c r="X19">
        <v>0.15</v>
      </c>
      <c r="Y19">
        <v>0.11</v>
      </c>
      <c r="Z19">
        <v>0.59</v>
      </c>
      <c r="AA19">
        <v>0.02</v>
      </c>
      <c r="AB19">
        <v>0.08</v>
      </c>
      <c r="AD19">
        <v>0.03</v>
      </c>
      <c r="AE19">
        <v>0.28000000000000003</v>
      </c>
      <c r="AF19">
        <v>0.1</v>
      </c>
      <c r="AG19">
        <v>0.53</v>
      </c>
      <c r="AH19">
        <v>0.02</v>
      </c>
      <c r="AI19">
        <v>0.04</v>
      </c>
      <c r="AK19">
        <v>0.03</v>
      </c>
      <c r="AL19">
        <v>0.13</v>
      </c>
      <c r="AM19">
        <v>0.26</v>
      </c>
      <c r="AN19">
        <v>0.53</v>
      </c>
      <c r="AO19">
        <v>0.01</v>
      </c>
      <c r="AP19">
        <v>0.04</v>
      </c>
    </row>
    <row r="20" spans="1:42" x14ac:dyDescent="0.25">
      <c r="A20" t="s">
        <v>4</v>
      </c>
      <c r="B20" s="1">
        <f t="shared" si="12"/>
        <v>9.8000000000000004E-2</v>
      </c>
      <c r="C20" s="1">
        <f t="shared" si="7"/>
        <v>0.23199999999999998</v>
      </c>
      <c r="D20" s="1">
        <f t="shared" si="8"/>
        <v>0.31399999999999995</v>
      </c>
      <c r="E20" s="1">
        <f t="shared" si="9"/>
        <v>0.10599999999999998</v>
      </c>
      <c r="F20" s="11">
        <f>AVERAGE(M20,T20,AA20,AH20,AO20)</f>
        <v>0.04</v>
      </c>
      <c r="G20" s="1">
        <f t="shared" si="11"/>
        <v>0.21200000000000002</v>
      </c>
      <c r="I20">
        <v>0.08</v>
      </c>
      <c r="J20">
        <v>0.2</v>
      </c>
      <c r="K20">
        <v>0.48</v>
      </c>
      <c r="L20">
        <v>0.09</v>
      </c>
      <c r="M20">
        <v>0.02</v>
      </c>
      <c r="N20">
        <v>0.14000000000000001</v>
      </c>
      <c r="P20">
        <v>0.11</v>
      </c>
      <c r="Q20">
        <v>0.19</v>
      </c>
      <c r="R20">
        <v>0.48</v>
      </c>
      <c r="S20">
        <v>0.08</v>
      </c>
      <c r="T20">
        <v>0</v>
      </c>
      <c r="U20">
        <v>0.14000000000000001</v>
      </c>
      <c r="W20">
        <v>0.11</v>
      </c>
      <c r="X20">
        <v>0.22</v>
      </c>
      <c r="Y20">
        <v>0.15</v>
      </c>
      <c r="Z20">
        <v>0.17</v>
      </c>
      <c r="AA20">
        <v>0.06</v>
      </c>
      <c r="AB20">
        <v>0.28999999999999998</v>
      </c>
      <c r="AD20">
        <v>0.11</v>
      </c>
      <c r="AE20">
        <v>0.38</v>
      </c>
      <c r="AF20">
        <v>0.13</v>
      </c>
      <c r="AG20">
        <v>0.11</v>
      </c>
      <c r="AH20">
        <v>0.08</v>
      </c>
      <c r="AI20">
        <v>0.19</v>
      </c>
      <c r="AK20">
        <v>0.08</v>
      </c>
      <c r="AL20">
        <v>0.17</v>
      </c>
      <c r="AM20">
        <v>0.33</v>
      </c>
      <c r="AN20">
        <v>0.08</v>
      </c>
      <c r="AO20">
        <v>0.04</v>
      </c>
      <c r="AP20">
        <v>0.3</v>
      </c>
    </row>
    <row r="21" spans="1:42" x14ac:dyDescent="0.25">
      <c r="A21" t="s">
        <v>5</v>
      </c>
      <c r="B21" s="1">
        <f t="shared" si="12"/>
        <v>0.13599999999999998</v>
      </c>
      <c r="C21" s="1">
        <f t="shared" si="7"/>
        <v>9.4E-2</v>
      </c>
      <c r="D21" s="1">
        <f t="shared" si="8"/>
        <v>0.23799999999999999</v>
      </c>
      <c r="E21" s="1">
        <f t="shared" si="9"/>
        <v>4.3999999999999997E-2</v>
      </c>
      <c r="F21" s="1">
        <f t="shared" si="10"/>
        <v>2.8000000000000004E-2</v>
      </c>
      <c r="G21" s="11">
        <f>AVERAGE(N21,U21,AB21,AI21,AP21)</f>
        <v>0.46400000000000008</v>
      </c>
      <c r="I21">
        <v>0.03</v>
      </c>
      <c r="J21">
        <v>0.1</v>
      </c>
      <c r="K21">
        <v>0.37</v>
      </c>
      <c r="L21">
        <v>0.02</v>
      </c>
      <c r="M21">
        <v>0</v>
      </c>
      <c r="N21">
        <v>0.48</v>
      </c>
      <c r="P21">
        <v>0.13</v>
      </c>
      <c r="Q21">
        <v>0</v>
      </c>
      <c r="R21">
        <v>0.39</v>
      </c>
      <c r="S21">
        <v>0.1</v>
      </c>
      <c r="T21">
        <v>0</v>
      </c>
      <c r="U21">
        <v>0.38</v>
      </c>
      <c r="W21">
        <v>0.2</v>
      </c>
      <c r="X21">
        <v>0.13</v>
      </c>
      <c r="Y21">
        <v>0.11</v>
      </c>
      <c r="Z21">
        <v>0.05</v>
      </c>
      <c r="AA21">
        <v>7.0000000000000007E-2</v>
      </c>
      <c r="AB21">
        <v>0.44</v>
      </c>
      <c r="AD21">
        <v>0.22</v>
      </c>
      <c r="AE21">
        <v>0.12</v>
      </c>
      <c r="AF21">
        <v>0.1</v>
      </c>
      <c r="AG21">
        <v>0.02</v>
      </c>
      <c r="AH21">
        <v>0.05</v>
      </c>
      <c r="AI21">
        <v>0.5</v>
      </c>
      <c r="AK21">
        <v>0.1</v>
      </c>
      <c r="AL21">
        <v>0.12</v>
      </c>
      <c r="AM21">
        <v>0.22</v>
      </c>
      <c r="AN21">
        <v>0.03</v>
      </c>
      <c r="AO21">
        <v>0.02</v>
      </c>
      <c r="AP21">
        <v>0.52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0.438</v>
      </c>
      <c r="C23" s="1"/>
      <c r="D23" s="1"/>
      <c r="E23" s="1"/>
      <c r="F23" s="1"/>
      <c r="G23" s="1"/>
      <c r="I23">
        <v>0.45</v>
      </c>
      <c r="J23">
        <v>541</v>
      </c>
      <c r="P23">
        <v>0.41</v>
      </c>
      <c r="Q23">
        <v>546</v>
      </c>
      <c r="W23">
        <v>0.43</v>
      </c>
      <c r="X23">
        <v>545</v>
      </c>
      <c r="AD23">
        <v>0.46</v>
      </c>
      <c r="AE23">
        <v>543</v>
      </c>
      <c r="AK23">
        <v>0.44</v>
      </c>
      <c r="AL23">
        <v>543</v>
      </c>
    </row>
    <row r="25" spans="1:42" x14ac:dyDescent="0.25">
      <c r="B25" t="s">
        <v>21</v>
      </c>
    </row>
    <row r="28" spans="1:42" x14ac:dyDescent="0.25">
      <c r="B28" t="s">
        <v>0</v>
      </c>
      <c r="C28" t="s">
        <v>2</v>
      </c>
      <c r="D28" t="s">
        <v>1</v>
      </c>
      <c r="E28" t="s">
        <v>3</v>
      </c>
      <c r="F28" t="s">
        <v>4</v>
      </c>
      <c r="G28" t="s">
        <v>5</v>
      </c>
    </row>
    <row r="29" spans="1:42" x14ac:dyDescent="0.25">
      <c r="A29" t="s">
        <v>0</v>
      </c>
      <c r="B29" s="4">
        <f t="shared" ref="B29:G34" si="13">AVERAGE(I29,P29,W29,AD29,AK29)</f>
        <v>0.79600000000000004</v>
      </c>
      <c r="C29" s="1">
        <f t="shared" si="13"/>
        <v>7.5999999999999998E-2</v>
      </c>
      <c r="D29" s="1">
        <f t="shared" si="13"/>
        <v>6.0000000000000012E-2</v>
      </c>
      <c r="E29" s="1">
        <f t="shared" si="13"/>
        <v>1.2E-2</v>
      </c>
      <c r="F29" s="1">
        <f t="shared" si="13"/>
        <v>0</v>
      </c>
      <c r="G29" s="1">
        <f t="shared" si="13"/>
        <v>5.800000000000001E-2</v>
      </c>
      <c r="I29">
        <v>0.82</v>
      </c>
      <c r="J29">
        <v>0.04</v>
      </c>
      <c r="K29">
        <v>0.06</v>
      </c>
      <c r="L29">
        <v>0.02</v>
      </c>
      <c r="M29">
        <v>0</v>
      </c>
      <c r="N29">
        <v>0.06</v>
      </c>
      <c r="P29">
        <v>0.74</v>
      </c>
      <c r="Q29">
        <v>0.09</v>
      </c>
      <c r="R29">
        <v>0.1</v>
      </c>
      <c r="S29">
        <v>0.01</v>
      </c>
      <c r="T29">
        <v>0</v>
      </c>
      <c r="U29">
        <v>0.06</v>
      </c>
      <c r="W29">
        <v>0.81</v>
      </c>
      <c r="X29">
        <v>0.08</v>
      </c>
      <c r="Y29">
        <v>0.04</v>
      </c>
      <c r="Z29">
        <v>0.01</v>
      </c>
      <c r="AA29">
        <v>0</v>
      </c>
      <c r="AB29">
        <v>0.06</v>
      </c>
      <c r="AD29">
        <v>0.81</v>
      </c>
      <c r="AE29">
        <v>0.08</v>
      </c>
      <c r="AF29">
        <v>7.0000000000000007E-2</v>
      </c>
      <c r="AG29">
        <v>0</v>
      </c>
      <c r="AH29">
        <v>0</v>
      </c>
      <c r="AI29">
        <v>0.04</v>
      </c>
      <c r="AK29">
        <v>0.8</v>
      </c>
      <c r="AL29">
        <v>0.09</v>
      </c>
      <c r="AM29">
        <v>0.03</v>
      </c>
      <c r="AN29">
        <v>0.02</v>
      </c>
      <c r="AO29">
        <v>0</v>
      </c>
      <c r="AP29">
        <v>7.0000000000000007E-2</v>
      </c>
    </row>
    <row r="30" spans="1:42" x14ac:dyDescent="0.25">
      <c r="A30" t="s">
        <v>2</v>
      </c>
      <c r="B30" s="1">
        <f t="shared" si="13"/>
        <v>0</v>
      </c>
      <c r="C30" s="4">
        <f t="shared" si="13"/>
        <v>0.98399999999999999</v>
      </c>
      <c r="D30" s="1">
        <f t="shared" si="13"/>
        <v>1.6E-2</v>
      </c>
      <c r="E30" s="1">
        <f t="shared" si="13"/>
        <v>0</v>
      </c>
      <c r="F30" s="1">
        <f t="shared" si="13"/>
        <v>0</v>
      </c>
      <c r="G30" s="1">
        <f t="shared" si="13"/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W30">
        <v>0</v>
      </c>
      <c r="X30">
        <v>0.98</v>
      </c>
      <c r="Y30">
        <v>0.02</v>
      </c>
      <c r="Z30">
        <v>0</v>
      </c>
      <c r="AA30">
        <v>0</v>
      </c>
      <c r="AB30">
        <v>0</v>
      </c>
      <c r="AD30">
        <v>0</v>
      </c>
      <c r="AE30">
        <v>0.96</v>
      </c>
      <c r="AF30">
        <v>0.04</v>
      </c>
      <c r="AG30">
        <v>0</v>
      </c>
      <c r="AH30">
        <v>0</v>
      </c>
      <c r="AI30">
        <v>0</v>
      </c>
      <c r="AK30">
        <v>0</v>
      </c>
      <c r="AL30">
        <v>0.98</v>
      </c>
      <c r="AM30">
        <v>0.02</v>
      </c>
      <c r="AN30">
        <v>0</v>
      </c>
      <c r="AO30">
        <v>0</v>
      </c>
      <c r="AP30">
        <v>0</v>
      </c>
    </row>
    <row r="31" spans="1:42" x14ac:dyDescent="0.25">
      <c r="A31" t="s">
        <v>1</v>
      </c>
      <c r="B31" s="1">
        <f t="shared" si="13"/>
        <v>0</v>
      </c>
      <c r="C31" s="1">
        <f t="shared" si="13"/>
        <v>3.4000000000000002E-2</v>
      </c>
      <c r="D31" s="4">
        <f t="shared" si="13"/>
        <v>0.96599999999999997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W31">
        <v>0</v>
      </c>
      <c r="X31">
        <v>0.1</v>
      </c>
      <c r="Y31">
        <v>0.9</v>
      </c>
      <c r="Z31">
        <v>0</v>
      </c>
      <c r="AA31">
        <v>0</v>
      </c>
      <c r="AB31">
        <v>0</v>
      </c>
      <c r="AD31">
        <v>0</v>
      </c>
      <c r="AE31">
        <v>0.06</v>
      </c>
      <c r="AF31">
        <v>0.94</v>
      </c>
      <c r="AG31">
        <v>0</v>
      </c>
      <c r="AH31">
        <v>0</v>
      </c>
      <c r="AI31">
        <v>0</v>
      </c>
      <c r="AK31">
        <v>0</v>
      </c>
      <c r="AL31">
        <v>0.01</v>
      </c>
      <c r="AM31">
        <v>0.99</v>
      </c>
      <c r="AN31">
        <v>0</v>
      </c>
      <c r="AO31">
        <v>0</v>
      </c>
      <c r="AP31">
        <v>0</v>
      </c>
    </row>
    <row r="32" spans="1:42" x14ac:dyDescent="0.25">
      <c r="A32" t="s">
        <v>3</v>
      </c>
      <c r="B32" s="1">
        <f t="shared" si="13"/>
        <v>0.02</v>
      </c>
      <c r="C32" s="1">
        <f t="shared" si="13"/>
        <v>0.21000000000000002</v>
      </c>
      <c r="D32" s="1">
        <f t="shared" si="13"/>
        <v>0.16999999999999998</v>
      </c>
      <c r="E32" s="4">
        <f t="shared" si="13"/>
        <v>0.56399999999999995</v>
      </c>
      <c r="F32" s="1">
        <f t="shared" si="13"/>
        <v>8.0000000000000002E-3</v>
      </c>
      <c r="G32" s="1">
        <f t="shared" si="13"/>
        <v>3.2000000000000001E-2</v>
      </c>
      <c r="I32">
        <v>0.02</v>
      </c>
      <c r="J32">
        <v>0.1</v>
      </c>
      <c r="K32">
        <v>0.16</v>
      </c>
      <c r="L32">
        <v>0.66</v>
      </c>
      <c r="M32">
        <v>0.02</v>
      </c>
      <c r="N32">
        <v>0.05</v>
      </c>
      <c r="P32">
        <v>0.02</v>
      </c>
      <c r="Q32">
        <v>0.22</v>
      </c>
      <c r="R32">
        <v>0.21</v>
      </c>
      <c r="S32">
        <v>0.53</v>
      </c>
      <c r="T32">
        <v>0</v>
      </c>
      <c r="U32">
        <v>0.03</v>
      </c>
      <c r="W32">
        <v>0.02</v>
      </c>
      <c r="X32">
        <v>0.26</v>
      </c>
      <c r="Y32">
        <v>0.12</v>
      </c>
      <c r="Z32">
        <v>0.56999999999999995</v>
      </c>
      <c r="AA32">
        <v>0.01</v>
      </c>
      <c r="AB32">
        <v>0.03</v>
      </c>
      <c r="AD32">
        <v>0.02</v>
      </c>
      <c r="AE32">
        <v>0.27</v>
      </c>
      <c r="AF32">
        <v>0.22</v>
      </c>
      <c r="AG32">
        <v>0.45</v>
      </c>
      <c r="AH32">
        <v>0</v>
      </c>
      <c r="AI32">
        <v>0.03</v>
      </c>
      <c r="AK32">
        <v>0.02</v>
      </c>
      <c r="AL32">
        <v>0.2</v>
      </c>
      <c r="AM32">
        <v>0.14000000000000001</v>
      </c>
      <c r="AN32">
        <v>0.61</v>
      </c>
      <c r="AO32">
        <v>0.01</v>
      </c>
      <c r="AP32">
        <v>0.02</v>
      </c>
    </row>
    <row r="33" spans="1:42" x14ac:dyDescent="0.25">
      <c r="A33" t="s">
        <v>4</v>
      </c>
      <c r="B33" s="1">
        <f t="shared" si="13"/>
        <v>8.6000000000000007E-2</v>
      </c>
      <c r="C33" s="1">
        <f t="shared" si="13"/>
        <v>0.29200000000000004</v>
      </c>
      <c r="D33" s="1">
        <f t="shared" si="13"/>
        <v>0.28600000000000003</v>
      </c>
      <c r="E33" s="1">
        <f t="shared" si="13"/>
        <v>9.1999999999999998E-2</v>
      </c>
      <c r="F33" s="4">
        <f t="shared" si="13"/>
        <v>9.4E-2</v>
      </c>
      <c r="G33" s="1">
        <f t="shared" si="13"/>
        <v>0.14599999999999999</v>
      </c>
      <c r="I33">
        <v>0.12</v>
      </c>
      <c r="J33">
        <v>0.11</v>
      </c>
      <c r="K33">
        <v>0.24</v>
      </c>
      <c r="L33">
        <v>0.12</v>
      </c>
      <c r="M33">
        <v>0.22</v>
      </c>
      <c r="N33">
        <v>0.19</v>
      </c>
      <c r="P33">
        <v>0.06</v>
      </c>
      <c r="Q33">
        <v>0.31</v>
      </c>
      <c r="R33">
        <v>0.39</v>
      </c>
      <c r="S33">
        <v>0.08</v>
      </c>
      <c r="T33">
        <v>0.06</v>
      </c>
      <c r="U33">
        <v>0.11</v>
      </c>
      <c r="W33">
        <v>0.08</v>
      </c>
      <c r="X33">
        <v>0.35</v>
      </c>
      <c r="Y33">
        <v>0.19</v>
      </c>
      <c r="Z33">
        <v>0.11</v>
      </c>
      <c r="AA33">
        <v>0.09</v>
      </c>
      <c r="AB33">
        <v>0.16</v>
      </c>
      <c r="AD33">
        <v>7.0000000000000007E-2</v>
      </c>
      <c r="AE33">
        <v>0.39</v>
      </c>
      <c r="AF33">
        <v>0.33</v>
      </c>
      <c r="AG33">
        <v>0.05</v>
      </c>
      <c r="AH33">
        <v>0.03</v>
      </c>
      <c r="AI33">
        <v>0.12</v>
      </c>
      <c r="AK33">
        <v>0.1</v>
      </c>
      <c r="AL33">
        <v>0.3</v>
      </c>
      <c r="AM33">
        <v>0.28000000000000003</v>
      </c>
      <c r="AN33">
        <v>0.1</v>
      </c>
      <c r="AO33">
        <v>7.0000000000000007E-2</v>
      </c>
      <c r="AP33">
        <v>0.15</v>
      </c>
    </row>
    <row r="34" spans="1:42" x14ac:dyDescent="0.25">
      <c r="A34" t="s">
        <v>5</v>
      </c>
      <c r="B34" s="1">
        <f t="shared" si="13"/>
        <v>3.4000000000000002E-2</v>
      </c>
      <c r="C34" s="1">
        <f t="shared" si="13"/>
        <v>0.10400000000000001</v>
      </c>
      <c r="D34" s="1">
        <f t="shared" si="13"/>
        <v>0.10999999999999999</v>
      </c>
      <c r="E34" s="1">
        <f t="shared" si="13"/>
        <v>0.01</v>
      </c>
      <c r="F34" s="1">
        <f t="shared" si="13"/>
        <v>6.0000000000000001E-3</v>
      </c>
      <c r="G34" s="4">
        <f t="shared" si="13"/>
        <v>0.73199999999999998</v>
      </c>
      <c r="I34">
        <v>0.04</v>
      </c>
      <c r="J34">
        <v>0.04</v>
      </c>
      <c r="K34">
        <v>0.08</v>
      </c>
      <c r="L34">
        <v>0.02</v>
      </c>
      <c r="M34">
        <v>0.02</v>
      </c>
      <c r="N34">
        <v>0.81</v>
      </c>
      <c r="P34">
        <v>0.03</v>
      </c>
      <c r="Q34">
        <v>0.12</v>
      </c>
      <c r="R34">
        <v>0.15</v>
      </c>
      <c r="S34">
        <v>0.01</v>
      </c>
      <c r="T34">
        <v>0.01</v>
      </c>
      <c r="U34">
        <v>0.68</v>
      </c>
      <c r="W34">
        <v>0.04</v>
      </c>
      <c r="X34">
        <v>0.09</v>
      </c>
      <c r="Y34">
        <v>0.09</v>
      </c>
      <c r="Z34">
        <v>0</v>
      </c>
      <c r="AA34">
        <v>0</v>
      </c>
      <c r="AB34">
        <v>0.77</v>
      </c>
      <c r="AD34">
        <v>0.03</v>
      </c>
      <c r="AE34">
        <v>0.16</v>
      </c>
      <c r="AF34">
        <v>0.13</v>
      </c>
      <c r="AG34">
        <v>0</v>
      </c>
      <c r="AH34">
        <v>0</v>
      </c>
      <c r="AI34">
        <v>0.67</v>
      </c>
      <c r="AK34">
        <v>0.03</v>
      </c>
      <c r="AL34">
        <v>0.11</v>
      </c>
      <c r="AM34">
        <v>0.1</v>
      </c>
      <c r="AN34">
        <v>0.02</v>
      </c>
      <c r="AO34">
        <v>0</v>
      </c>
      <c r="AP34">
        <v>0.73</v>
      </c>
    </row>
    <row r="35" spans="1:42" x14ac:dyDescent="0.25">
      <c r="B35" s="1"/>
      <c r="C35" s="1"/>
      <c r="D35" s="1"/>
      <c r="E35" s="1"/>
      <c r="F35" s="1"/>
      <c r="G35" s="1"/>
    </row>
    <row r="36" spans="1:42" x14ac:dyDescent="0.25">
      <c r="B36" s="4">
        <f>AVERAGE(I36,P36,W36,AD36,AK36)</f>
        <v>0.69000000000000006</v>
      </c>
      <c r="C36" s="1"/>
      <c r="D36" s="1"/>
      <c r="E36" s="1"/>
      <c r="F36" s="1"/>
      <c r="G36" s="1"/>
      <c r="I36">
        <v>0.75</v>
      </c>
      <c r="P36">
        <v>0.67</v>
      </c>
      <c r="W36">
        <v>0.69</v>
      </c>
      <c r="AD36">
        <v>0.64</v>
      </c>
      <c r="AK36">
        <v>0.7</v>
      </c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t="s">
        <v>0</v>
      </c>
      <c r="C39" t="s">
        <v>2</v>
      </c>
      <c r="D39" t="s">
        <v>1</v>
      </c>
      <c r="E39" t="s">
        <v>3</v>
      </c>
      <c r="F39" t="s">
        <v>4</v>
      </c>
      <c r="G39" t="s">
        <v>5</v>
      </c>
    </row>
    <row r="40" spans="1:42" x14ac:dyDescent="0.25">
      <c r="A40" t="s">
        <v>0</v>
      </c>
      <c r="B40" s="4">
        <f t="shared" ref="B40:G45" si="14">AVERAGE(I40,P40,W40,AD40,AK40)</f>
        <v>0.61799999999999999</v>
      </c>
      <c r="C40" s="1">
        <f t="shared" si="14"/>
        <v>8.199999999999999E-2</v>
      </c>
      <c r="D40" s="1">
        <f t="shared" si="14"/>
        <v>0.11200000000000002</v>
      </c>
      <c r="E40" s="1">
        <f t="shared" si="14"/>
        <v>4.3999999999999997E-2</v>
      </c>
      <c r="F40" s="1">
        <f t="shared" si="14"/>
        <v>1.4000000000000002E-2</v>
      </c>
      <c r="G40" s="1">
        <f t="shared" si="14"/>
        <v>0.13599999999999998</v>
      </c>
      <c r="I40">
        <v>0.6</v>
      </c>
      <c r="J40">
        <v>0.03</v>
      </c>
      <c r="K40">
        <v>0.03</v>
      </c>
      <c r="L40">
        <v>0.1</v>
      </c>
      <c r="M40">
        <v>0.03</v>
      </c>
      <c r="N40">
        <v>0.21</v>
      </c>
      <c r="P40">
        <v>0.57999999999999996</v>
      </c>
      <c r="Q40">
        <v>0.09</v>
      </c>
      <c r="R40">
        <v>0.14000000000000001</v>
      </c>
      <c r="S40">
        <v>0.03</v>
      </c>
      <c r="T40">
        <v>0.02</v>
      </c>
      <c r="U40">
        <v>0.15</v>
      </c>
      <c r="W40">
        <v>0.62</v>
      </c>
      <c r="X40">
        <v>0.02</v>
      </c>
      <c r="Y40">
        <v>0.15</v>
      </c>
      <c r="Z40">
        <v>0.02</v>
      </c>
      <c r="AA40">
        <v>0.02</v>
      </c>
      <c r="AB40">
        <v>0.18</v>
      </c>
      <c r="AD40">
        <v>0.57999999999999996</v>
      </c>
      <c r="AE40">
        <v>0.18</v>
      </c>
      <c r="AF40">
        <v>0.12</v>
      </c>
      <c r="AG40">
        <v>0.04</v>
      </c>
      <c r="AH40">
        <v>0</v>
      </c>
      <c r="AI40">
        <v>0.08</v>
      </c>
      <c r="AK40">
        <v>0.71</v>
      </c>
      <c r="AL40">
        <v>0.09</v>
      </c>
      <c r="AM40">
        <v>0.12</v>
      </c>
      <c r="AN40">
        <v>0.03</v>
      </c>
      <c r="AO40">
        <v>0</v>
      </c>
      <c r="AP40">
        <v>0.06</v>
      </c>
    </row>
    <row r="41" spans="1:42" x14ac:dyDescent="0.25">
      <c r="A41" t="s">
        <v>2</v>
      </c>
      <c r="B41" s="1">
        <f t="shared" si="14"/>
        <v>0.01</v>
      </c>
      <c r="C41" s="4">
        <f t="shared" si="14"/>
        <v>0.46800000000000008</v>
      </c>
      <c r="D41" s="1">
        <f t="shared" si="14"/>
        <v>0.41</v>
      </c>
      <c r="E41" s="1">
        <f t="shared" si="14"/>
        <v>0.10200000000000001</v>
      </c>
      <c r="F41" s="1">
        <f t="shared" si="14"/>
        <v>0</v>
      </c>
      <c r="G41" s="1">
        <f t="shared" si="14"/>
        <v>1.2E-2</v>
      </c>
      <c r="I41">
        <v>0</v>
      </c>
      <c r="J41">
        <v>0.53</v>
      </c>
      <c r="K41">
        <v>0.28999999999999998</v>
      </c>
      <c r="L41">
        <v>0.12</v>
      </c>
      <c r="M41">
        <v>0</v>
      </c>
      <c r="N41">
        <v>0.06</v>
      </c>
      <c r="P41">
        <v>0</v>
      </c>
      <c r="Q41">
        <v>0.47</v>
      </c>
      <c r="R41">
        <v>0.37</v>
      </c>
      <c r="S41">
        <v>0.16</v>
      </c>
      <c r="T41">
        <v>0</v>
      </c>
      <c r="U41">
        <v>0</v>
      </c>
      <c r="W41">
        <v>0</v>
      </c>
      <c r="X41">
        <v>0.64</v>
      </c>
      <c r="Y41">
        <v>0.27</v>
      </c>
      <c r="Z41">
        <v>0.09</v>
      </c>
      <c r="AA41">
        <v>0</v>
      </c>
      <c r="AB41">
        <v>0</v>
      </c>
      <c r="AD41">
        <v>0</v>
      </c>
      <c r="AE41">
        <v>0.28999999999999998</v>
      </c>
      <c r="AF41">
        <v>0.56999999999999995</v>
      </c>
      <c r="AG41">
        <v>0.14000000000000001</v>
      </c>
      <c r="AH41">
        <v>0</v>
      </c>
      <c r="AI41">
        <v>0</v>
      </c>
      <c r="AK41">
        <v>0.05</v>
      </c>
      <c r="AL41">
        <v>0.41</v>
      </c>
      <c r="AM41">
        <v>0.55000000000000004</v>
      </c>
      <c r="AN41">
        <v>0</v>
      </c>
      <c r="AO41">
        <v>0</v>
      </c>
      <c r="AP41">
        <v>0</v>
      </c>
    </row>
    <row r="42" spans="1:42" x14ac:dyDescent="0.25">
      <c r="A42" t="s">
        <v>1</v>
      </c>
      <c r="B42" s="1">
        <f t="shared" si="14"/>
        <v>3.0000000000000006E-2</v>
      </c>
      <c r="C42" s="1">
        <f t="shared" si="14"/>
        <v>0.376</v>
      </c>
      <c r="D42" s="4">
        <f t="shared" si="14"/>
        <v>0.46200000000000002</v>
      </c>
      <c r="E42" s="1">
        <f t="shared" si="14"/>
        <v>0.10800000000000001</v>
      </c>
      <c r="F42" s="1">
        <f t="shared" si="14"/>
        <v>0</v>
      </c>
      <c r="G42" s="1">
        <f t="shared" si="14"/>
        <v>2.4E-2</v>
      </c>
      <c r="I42">
        <v>0.04</v>
      </c>
      <c r="J42">
        <v>0.26</v>
      </c>
      <c r="K42">
        <v>0.43</v>
      </c>
      <c r="L42">
        <v>0.22</v>
      </c>
      <c r="M42">
        <v>0</v>
      </c>
      <c r="N42">
        <v>0.04</v>
      </c>
      <c r="P42">
        <v>0.04</v>
      </c>
      <c r="Q42">
        <v>0.56000000000000005</v>
      </c>
      <c r="R42">
        <v>0.36</v>
      </c>
      <c r="S42">
        <v>0.04</v>
      </c>
      <c r="T42">
        <v>0</v>
      </c>
      <c r="U42">
        <v>0</v>
      </c>
      <c r="W42">
        <v>0</v>
      </c>
      <c r="X42">
        <v>0.57999999999999996</v>
      </c>
      <c r="Y42">
        <v>0.17</v>
      </c>
      <c r="Z42">
        <v>0.17</v>
      </c>
      <c r="AA42">
        <v>0</v>
      </c>
      <c r="AB42">
        <v>0.08</v>
      </c>
      <c r="AD42">
        <v>7.0000000000000007E-2</v>
      </c>
      <c r="AE42">
        <v>0.27</v>
      </c>
      <c r="AF42">
        <v>0.67</v>
      </c>
      <c r="AG42">
        <v>0</v>
      </c>
      <c r="AH42">
        <v>0</v>
      </c>
      <c r="AI42">
        <v>0</v>
      </c>
      <c r="AK42">
        <v>0</v>
      </c>
      <c r="AL42">
        <v>0.21</v>
      </c>
      <c r="AM42">
        <v>0.68</v>
      </c>
      <c r="AN42">
        <v>0.11</v>
      </c>
      <c r="AO42">
        <v>0</v>
      </c>
      <c r="AP42">
        <v>0</v>
      </c>
    </row>
    <row r="43" spans="1:42" x14ac:dyDescent="0.25">
      <c r="A43" t="s">
        <v>3</v>
      </c>
      <c r="B43" s="1">
        <f t="shared" si="14"/>
        <v>3.4000000000000002E-2</v>
      </c>
      <c r="C43" s="1">
        <f t="shared" si="14"/>
        <v>0.23399999999999999</v>
      </c>
      <c r="D43" s="1">
        <f t="shared" si="14"/>
        <v>0.19600000000000001</v>
      </c>
      <c r="E43" s="4">
        <f t="shared" si="14"/>
        <v>0.48799999999999999</v>
      </c>
      <c r="F43" s="1">
        <f t="shared" si="14"/>
        <v>8.0000000000000002E-3</v>
      </c>
      <c r="G43" s="1">
        <f t="shared" si="14"/>
        <v>3.6000000000000004E-2</v>
      </c>
      <c r="I43">
        <v>0.05</v>
      </c>
      <c r="J43">
        <v>0.16</v>
      </c>
      <c r="K43">
        <v>0.17</v>
      </c>
      <c r="L43">
        <v>0.55000000000000004</v>
      </c>
      <c r="M43">
        <v>0.03</v>
      </c>
      <c r="N43">
        <v>0.05</v>
      </c>
      <c r="P43">
        <v>0.04</v>
      </c>
      <c r="Q43">
        <v>0.21</v>
      </c>
      <c r="R43">
        <v>0.26</v>
      </c>
      <c r="S43">
        <v>0.45</v>
      </c>
      <c r="T43">
        <v>0.01</v>
      </c>
      <c r="U43">
        <v>0.02</v>
      </c>
      <c r="W43">
        <v>0.02</v>
      </c>
      <c r="X43">
        <v>0.28000000000000003</v>
      </c>
      <c r="Y43">
        <v>0.16</v>
      </c>
      <c r="Z43">
        <v>0.49</v>
      </c>
      <c r="AA43">
        <v>0</v>
      </c>
      <c r="AB43">
        <v>0.04</v>
      </c>
      <c r="AD43">
        <v>0.02</v>
      </c>
      <c r="AE43">
        <v>0.33</v>
      </c>
      <c r="AF43">
        <v>0.24</v>
      </c>
      <c r="AG43">
        <v>0.38</v>
      </c>
      <c r="AH43">
        <v>0</v>
      </c>
      <c r="AI43">
        <v>0.03</v>
      </c>
      <c r="AK43">
        <v>0.04</v>
      </c>
      <c r="AL43">
        <v>0.19</v>
      </c>
      <c r="AM43">
        <v>0.15</v>
      </c>
      <c r="AN43">
        <v>0.56999999999999995</v>
      </c>
      <c r="AO43">
        <v>0</v>
      </c>
      <c r="AP43">
        <v>0.04</v>
      </c>
    </row>
    <row r="44" spans="1:42" x14ac:dyDescent="0.25">
      <c r="A44" t="s">
        <v>4</v>
      </c>
      <c r="B44" s="1">
        <f t="shared" si="14"/>
        <v>0.10600000000000001</v>
      </c>
      <c r="C44" s="1">
        <f t="shared" si="14"/>
        <v>0.252</v>
      </c>
      <c r="D44" s="1">
        <f t="shared" si="14"/>
        <v>0.28799999999999998</v>
      </c>
      <c r="E44" s="1">
        <f t="shared" si="14"/>
        <v>0.126</v>
      </c>
      <c r="F44" s="4">
        <f t="shared" si="14"/>
        <v>3.2000000000000001E-2</v>
      </c>
      <c r="G44" s="1">
        <f t="shared" si="14"/>
        <v>0.19800000000000001</v>
      </c>
      <c r="I44">
        <v>0.17</v>
      </c>
      <c r="J44">
        <v>0.2</v>
      </c>
      <c r="K44">
        <v>0.21</v>
      </c>
      <c r="L44">
        <v>0.17</v>
      </c>
      <c r="M44">
        <v>0.05</v>
      </c>
      <c r="N44">
        <v>0.2</v>
      </c>
      <c r="P44">
        <v>0.05</v>
      </c>
      <c r="Q44">
        <v>0.28000000000000003</v>
      </c>
      <c r="R44">
        <v>0.37</v>
      </c>
      <c r="S44">
        <v>0.08</v>
      </c>
      <c r="T44">
        <v>0.02</v>
      </c>
      <c r="U44">
        <v>0.19</v>
      </c>
      <c r="W44">
        <v>0.1</v>
      </c>
      <c r="X44">
        <v>0.28999999999999998</v>
      </c>
      <c r="Y44">
        <v>0.23</v>
      </c>
      <c r="Z44">
        <v>0.15</v>
      </c>
      <c r="AA44">
        <v>0.03</v>
      </c>
      <c r="AB44">
        <v>0.2</v>
      </c>
      <c r="AD44">
        <v>0.14000000000000001</v>
      </c>
      <c r="AE44">
        <v>0.23</v>
      </c>
      <c r="AF44">
        <v>0.35</v>
      </c>
      <c r="AG44">
        <v>0.1</v>
      </c>
      <c r="AH44">
        <v>0.02</v>
      </c>
      <c r="AI44">
        <v>0.18</v>
      </c>
      <c r="AK44">
        <v>7.0000000000000007E-2</v>
      </c>
      <c r="AL44">
        <v>0.26</v>
      </c>
      <c r="AM44">
        <v>0.28000000000000003</v>
      </c>
      <c r="AN44">
        <v>0.13</v>
      </c>
      <c r="AO44">
        <v>0.04</v>
      </c>
      <c r="AP44">
        <v>0.22</v>
      </c>
    </row>
    <row r="45" spans="1:42" x14ac:dyDescent="0.25">
      <c r="A45" t="s">
        <v>5</v>
      </c>
      <c r="B45" s="1">
        <f t="shared" si="14"/>
        <v>0.124</v>
      </c>
      <c r="C45" s="1">
        <f t="shared" si="14"/>
        <v>0.158</v>
      </c>
      <c r="D45" s="1">
        <f t="shared" si="14"/>
        <v>0.17599999999999999</v>
      </c>
      <c r="E45" s="1">
        <f t="shared" si="14"/>
        <v>5.800000000000001E-2</v>
      </c>
      <c r="F45" s="1">
        <f t="shared" si="14"/>
        <v>2.6000000000000002E-2</v>
      </c>
      <c r="G45" s="4">
        <f t="shared" si="14"/>
        <v>0.45999999999999996</v>
      </c>
      <c r="I45">
        <v>0.2</v>
      </c>
      <c r="J45">
        <v>0.04</v>
      </c>
      <c r="K45">
        <v>0.09</v>
      </c>
      <c r="L45">
        <v>0.09</v>
      </c>
      <c r="M45">
        <v>7.0000000000000007E-2</v>
      </c>
      <c r="N45">
        <v>0.51</v>
      </c>
      <c r="P45">
        <v>0.09</v>
      </c>
      <c r="Q45">
        <v>0.12</v>
      </c>
      <c r="R45">
        <v>0.24</v>
      </c>
      <c r="S45">
        <v>0.01</v>
      </c>
      <c r="T45">
        <v>0.01</v>
      </c>
      <c r="U45">
        <v>0.53</v>
      </c>
      <c r="W45">
        <v>0.1</v>
      </c>
      <c r="X45">
        <v>0.16</v>
      </c>
      <c r="Y45">
        <v>0.18</v>
      </c>
      <c r="Z45">
        <v>0.1</v>
      </c>
      <c r="AA45">
        <v>0.04</v>
      </c>
      <c r="AB45">
        <v>0.43</v>
      </c>
      <c r="AD45">
        <v>0.13</v>
      </c>
      <c r="AE45">
        <v>0.19</v>
      </c>
      <c r="AF45">
        <v>0.2</v>
      </c>
      <c r="AG45">
        <v>0.04</v>
      </c>
      <c r="AH45">
        <v>0.01</v>
      </c>
      <c r="AI45">
        <v>0.43</v>
      </c>
      <c r="AK45">
        <v>0.1</v>
      </c>
      <c r="AL45">
        <v>0.28000000000000003</v>
      </c>
      <c r="AM45">
        <v>0.17</v>
      </c>
      <c r="AN45">
        <v>0.05</v>
      </c>
      <c r="AO45">
        <v>0</v>
      </c>
      <c r="AP45">
        <v>0.4</v>
      </c>
    </row>
    <row r="46" spans="1:42" x14ac:dyDescent="0.25">
      <c r="B46" s="1"/>
      <c r="C46" s="1"/>
      <c r="D46" s="1"/>
      <c r="E46" s="1"/>
      <c r="F46" s="1"/>
      <c r="G46" s="1"/>
    </row>
    <row r="47" spans="1:42" x14ac:dyDescent="0.25">
      <c r="A47" s="1"/>
      <c r="B47" s="4">
        <f>AVERAGE(I47,P47,W47,AD47,AK47)</f>
        <v>0.42200000000000004</v>
      </c>
      <c r="C47" s="1"/>
      <c r="D47" s="1"/>
      <c r="E47" s="1"/>
      <c r="F47" s="1"/>
      <c r="G47" s="1"/>
      <c r="I47">
        <v>0.45</v>
      </c>
      <c r="P47">
        <v>0.4</v>
      </c>
      <c r="W47">
        <v>0.4</v>
      </c>
      <c r="AD47">
        <v>0.39</v>
      </c>
      <c r="AK47">
        <v>0.47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Comp</vt:lpstr>
      <vt:lpstr>1 Grid</vt:lpstr>
      <vt:lpstr>2 Det</vt:lpstr>
      <vt:lpstr>3 No LD PP POMYLKA Z G D</vt:lpstr>
      <vt:lpstr>3 NoOtherPP D</vt:lpstr>
      <vt:lpstr>4 Opti_K5_Grid</vt:lpstr>
      <vt:lpstr>h0 Opti K5 D</vt:lpstr>
      <vt:lpstr>h0 Strat</vt:lpstr>
      <vt:lpstr>h0_S</vt:lpstr>
      <vt:lpstr>arch Lean vs All</vt:lpstr>
      <vt:lpstr>Arch G h0 K5</vt:lpstr>
      <vt:lpstr>Arch 1 All G S</vt:lpstr>
      <vt:lpstr>Arch 2 All D 16y S</vt:lpstr>
      <vt:lpstr>Arch 3 All S 16n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</dc:creator>
  <cp:lastModifiedBy>Filippo</cp:lastModifiedBy>
  <dcterms:created xsi:type="dcterms:W3CDTF">2020-11-27T12:28:48Z</dcterms:created>
  <dcterms:modified xsi:type="dcterms:W3CDTF">2020-12-08T19:09:10Z</dcterms:modified>
</cp:coreProperties>
</file>