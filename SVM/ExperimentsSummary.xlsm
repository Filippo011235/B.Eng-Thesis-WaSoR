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Filippo\Documents\Proj inz\SVM\"/>
    </mc:Choice>
  </mc:AlternateContent>
  <xr:revisionPtr revIDLastSave="0" documentId="13_ncr:1_{B12EB46B-BB51-4E0D-B69E-0B10B70F4291}" xr6:coauthVersionLast="45" xr6:coauthVersionMax="45" xr10:uidLastSave="{00000000-0000-0000-0000-000000000000}"/>
  <bookViews>
    <workbookView xWindow="-120" yWindow="-120" windowWidth="20730" windowHeight="11160" firstSheet="3" activeTab="10" xr2:uid="{782994AB-0876-4FFA-A068-5BFF8374BABE}"/>
  </bookViews>
  <sheets>
    <sheet name="Lean vs All" sheetId="10" r:id="rId1"/>
    <sheet name="1 All G 16y" sheetId="15" r:id="rId2"/>
    <sheet name="2 All D 16y" sheetId="16" r:id="rId3"/>
    <sheet name="All Rand" sheetId="4" r:id="rId4"/>
    <sheet name="h0_Multi" sheetId="9" r:id="rId5"/>
    <sheet name="h0 PP" sheetId="13" r:id="rId6"/>
    <sheet name="h0 K10" sheetId="8" r:id="rId7"/>
    <sheet name="BEST h0" sheetId="7" r:id="rId8"/>
    <sheet name="h0 2nd" sheetId="14" r:id="rId9"/>
    <sheet name="All PP" sheetId="11" r:id="rId10"/>
    <sheet name="h0 Strat" sheetId="18" r:id="rId11"/>
    <sheet name="h0 Strat K7" sheetId="20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18" l="1"/>
  <c r="F20" i="18"/>
  <c r="F20" i="20"/>
  <c r="E19" i="20"/>
  <c r="D18" i="20"/>
  <c r="C17" i="20"/>
  <c r="B16" i="20"/>
  <c r="B23" i="20"/>
  <c r="G21" i="20"/>
  <c r="C16" i="20"/>
  <c r="D16" i="20"/>
  <c r="E16" i="20"/>
  <c r="F16" i="20"/>
  <c r="G16" i="20"/>
  <c r="B17" i="20"/>
  <c r="D17" i="20"/>
  <c r="E17" i="20"/>
  <c r="F17" i="20"/>
  <c r="G17" i="20"/>
  <c r="B18" i="20"/>
  <c r="C18" i="20"/>
  <c r="E18" i="20"/>
  <c r="F18" i="20"/>
  <c r="G18" i="20"/>
  <c r="B19" i="20"/>
  <c r="C19" i="20"/>
  <c r="D19" i="20"/>
  <c r="F19" i="20"/>
  <c r="G19" i="20"/>
  <c r="B20" i="20"/>
  <c r="C20" i="20"/>
  <c r="D20" i="20"/>
  <c r="E20" i="20"/>
  <c r="G20" i="20"/>
  <c r="C21" i="20"/>
  <c r="D21" i="20"/>
  <c r="E21" i="20"/>
  <c r="F21" i="20"/>
  <c r="B21" i="20"/>
  <c r="B12" i="20"/>
  <c r="C6" i="20"/>
  <c r="D7" i="20"/>
  <c r="E8" i="20"/>
  <c r="F9" i="20"/>
  <c r="G10" i="20"/>
  <c r="C5" i="20"/>
  <c r="D5" i="20"/>
  <c r="E5" i="20"/>
  <c r="F5" i="20"/>
  <c r="B7" i="20"/>
  <c r="C7" i="20"/>
  <c r="E7" i="20"/>
  <c r="F7" i="20"/>
  <c r="G7" i="20"/>
  <c r="B8" i="20"/>
  <c r="C8" i="20"/>
  <c r="D8" i="20"/>
  <c r="F8" i="20"/>
  <c r="G8" i="20"/>
  <c r="B9" i="20"/>
  <c r="C9" i="20"/>
  <c r="D9" i="20"/>
  <c r="E9" i="20"/>
  <c r="G9" i="20"/>
  <c r="B10" i="20"/>
  <c r="C10" i="20"/>
  <c r="D10" i="20"/>
  <c r="E10" i="20"/>
  <c r="F10" i="20"/>
  <c r="D6" i="20"/>
  <c r="E6" i="20"/>
  <c r="F6" i="20"/>
  <c r="G6" i="20"/>
  <c r="B6" i="20"/>
  <c r="B5" i="20"/>
  <c r="G5" i="20"/>
  <c r="AA30" i="18" l="1"/>
  <c r="AA31" i="18"/>
  <c r="AA32" i="18"/>
  <c r="AA33" i="18"/>
  <c r="AA34" i="18"/>
  <c r="AA29" i="18"/>
  <c r="AB30" i="18"/>
  <c r="AB31" i="18"/>
  <c r="AB32" i="18"/>
  <c r="AB33" i="18"/>
  <c r="AB34" i="18"/>
  <c r="AB29" i="18"/>
  <c r="B23" i="18"/>
  <c r="B12" i="18"/>
  <c r="G21" i="18"/>
  <c r="E19" i="18"/>
  <c r="D18" i="18"/>
  <c r="B16" i="18"/>
  <c r="G10" i="18"/>
  <c r="F9" i="18"/>
  <c r="E8" i="18"/>
  <c r="D7" i="18"/>
  <c r="C6" i="18"/>
  <c r="F21" i="18"/>
  <c r="E21" i="18"/>
  <c r="D21" i="18"/>
  <c r="C21" i="18"/>
  <c r="B21" i="18"/>
  <c r="G20" i="18"/>
  <c r="E20" i="18"/>
  <c r="D20" i="18"/>
  <c r="C20" i="18"/>
  <c r="B20" i="18"/>
  <c r="G19" i="18"/>
  <c r="F19" i="18"/>
  <c r="D19" i="18"/>
  <c r="C19" i="18"/>
  <c r="B19" i="18"/>
  <c r="G18" i="18"/>
  <c r="F18" i="18"/>
  <c r="E18" i="18"/>
  <c r="C18" i="18"/>
  <c r="B18" i="18"/>
  <c r="G17" i="18"/>
  <c r="F17" i="18"/>
  <c r="E17" i="18"/>
  <c r="D17" i="18"/>
  <c r="B17" i="18"/>
  <c r="G16" i="18"/>
  <c r="F16" i="18"/>
  <c r="E16" i="18"/>
  <c r="D16" i="18"/>
  <c r="C16" i="18"/>
  <c r="B6" i="18"/>
  <c r="D6" i="18"/>
  <c r="E6" i="18"/>
  <c r="F6" i="18"/>
  <c r="G6" i="18"/>
  <c r="B7" i="18"/>
  <c r="C7" i="18"/>
  <c r="E7" i="18"/>
  <c r="F7" i="18"/>
  <c r="G7" i="18"/>
  <c r="B8" i="18"/>
  <c r="C8" i="18"/>
  <c r="D8" i="18"/>
  <c r="F8" i="18"/>
  <c r="G8" i="18"/>
  <c r="B9" i="18"/>
  <c r="C9" i="18"/>
  <c r="D9" i="18"/>
  <c r="E9" i="18"/>
  <c r="G9" i="18"/>
  <c r="B10" i="18"/>
  <c r="C10" i="18"/>
  <c r="D10" i="18"/>
  <c r="E10" i="18"/>
  <c r="F10" i="18"/>
  <c r="C5" i="18"/>
  <c r="D5" i="18"/>
  <c r="E5" i="18"/>
  <c r="F5" i="18"/>
  <c r="G5" i="18"/>
  <c r="B5" i="18"/>
  <c r="B23" i="15"/>
  <c r="B12" i="15"/>
  <c r="G21" i="15"/>
  <c r="F20" i="15"/>
  <c r="E19" i="15"/>
  <c r="D18" i="15"/>
  <c r="C17" i="15"/>
  <c r="B16" i="15"/>
  <c r="G10" i="15"/>
  <c r="F9" i="15"/>
  <c r="E8" i="15"/>
  <c r="D7" i="15"/>
  <c r="C6" i="15"/>
  <c r="F21" i="15"/>
  <c r="E21" i="15"/>
  <c r="D21" i="15"/>
  <c r="C21" i="15"/>
  <c r="B21" i="15"/>
  <c r="G20" i="15"/>
  <c r="E20" i="15"/>
  <c r="D20" i="15"/>
  <c r="C20" i="15"/>
  <c r="B20" i="15"/>
  <c r="G19" i="15"/>
  <c r="F19" i="15"/>
  <c r="D19" i="15"/>
  <c r="C19" i="15"/>
  <c r="B19" i="15"/>
  <c r="G18" i="15"/>
  <c r="F18" i="15"/>
  <c r="E18" i="15"/>
  <c r="C18" i="15"/>
  <c r="B18" i="15"/>
  <c r="G17" i="15"/>
  <c r="F17" i="15"/>
  <c r="E17" i="15"/>
  <c r="D17" i="15"/>
  <c r="B17" i="15"/>
  <c r="G16" i="15"/>
  <c r="F16" i="15"/>
  <c r="E16" i="15"/>
  <c r="D16" i="15"/>
  <c r="C16" i="15"/>
  <c r="B6" i="15"/>
  <c r="D6" i="15"/>
  <c r="E6" i="15"/>
  <c r="F6" i="15"/>
  <c r="G6" i="15"/>
  <c r="B7" i="15"/>
  <c r="C7" i="15"/>
  <c r="E7" i="15"/>
  <c r="F7" i="15"/>
  <c r="G7" i="15"/>
  <c r="B8" i="15"/>
  <c r="C8" i="15"/>
  <c r="D8" i="15"/>
  <c r="F8" i="15"/>
  <c r="G8" i="15"/>
  <c r="B9" i="15"/>
  <c r="C9" i="15"/>
  <c r="D9" i="15"/>
  <c r="E9" i="15"/>
  <c r="G9" i="15"/>
  <c r="B10" i="15"/>
  <c r="C10" i="15"/>
  <c r="D10" i="15"/>
  <c r="E10" i="15"/>
  <c r="F10" i="15"/>
  <c r="C5" i="15"/>
  <c r="D5" i="15"/>
  <c r="E5" i="15"/>
  <c r="F5" i="15"/>
  <c r="G5" i="15"/>
  <c r="B5" i="15"/>
  <c r="B23" i="16" l="1"/>
  <c r="B12" i="16"/>
  <c r="G21" i="16"/>
  <c r="F20" i="16"/>
  <c r="E19" i="16"/>
  <c r="D18" i="16"/>
  <c r="C17" i="16"/>
  <c r="B16" i="16"/>
  <c r="G10" i="16"/>
  <c r="F9" i="16"/>
  <c r="E8" i="16"/>
  <c r="D7" i="16"/>
  <c r="C6" i="16"/>
  <c r="F21" i="16"/>
  <c r="E21" i="16"/>
  <c r="D21" i="16"/>
  <c r="C21" i="16"/>
  <c r="B21" i="16"/>
  <c r="G20" i="16"/>
  <c r="E20" i="16"/>
  <c r="D20" i="16"/>
  <c r="C20" i="16"/>
  <c r="B20" i="16"/>
  <c r="G19" i="16"/>
  <c r="F19" i="16"/>
  <c r="D19" i="16"/>
  <c r="C19" i="16"/>
  <c r="B19" i="16"/>
  <c r="G18" i="16"/>
  <c r="F18" i="16"/>
  <c r="E18" i="16"/>
  <c r="C18" i="16"/>
  <c r="B18" i="16"/>
  <c r="G17" i="16"/>
  <c r="F17" i="16"/>
  <c r="E17" i="16"/>
  <c r="D17" i="16"/>
  <c r="B17" i="16"/>
  <c r="G16" i="16"/>
  <c r="F16" i="16"/>
  <c r="E16" i="16"/>
  <c r="D16" i="16"/>
  <c r="C16" i="16"/>
  <c r="B6" i="16"/>
  <c r="D6" i="16"/>
  <c r="E6" i="16"/>
  <c r="F6" i="16"/>
  <c r="G6" i="16"/>
  <c r="B7" i="16"/>
  <c r="C7" i="16"/>
  <c r="E7" i="16"/>
  <c r="F7" i="16"/>
  <c r="G7" i="16"/>
  <c r="B8" i="16"/>
  <c r="C8" i="16"/>
  <c r="D8" i="16"/>
  <c r="F8" i="16"/>
  <c r="G8" i="16"/>
  <c r="B9" i="16"/>
  <c r="C9" i="16"/>
  <c r="D9" i="16"/>
  <c r="E9" i="16"/>
  <c r="G9" i="16"/>
  <c r="B10" i="16"/>
  <c r="C10" i="16"/>
  <c r="D10" i="16"/>
  <c r="E10" i="16"/>
  <c r="F10" i="16"/>
  <c r="C5" i="16"/>
  <c r="D5" i="16"/>
  <c r="E5" i="16"/>
  <c r="F5" i="16"/>
  <c r="G5" i="16"/>
  <c r="B5" i="16"/>
  <c r="B23" i="14" l="1"/>
  <c r="B12" i="14"/>
  <c r="G21" i="14"/>
  <c r="F20" i="14"/>
  <c r="E19" i="14"/>
  <c r="D18" i="14"/>
  <c r="C17" i="14"/>
  <c r="B16" i="14"/>
  <c r="G10" i="14"/>
  <c r="F9" i="14"/>
  <c r="E8" i="14"/>
  <c r="D7" i="14"/>
  <c r="C6" i="14"/>
  <c r="F21" i="14"/>
  <c r="E21" i="14"/>
  <c r="D21" i="14"/>
  <c r="C21" i="14"/>
  <c r="B21" i="14"/>
  <c r="G20" i="14"/>
  <c r="E20" i="14"/>
  <c r="D20" i="14"/>
  <c r="C20" i="14"/>
  <c r="B20" i="14"/>
  <c r="G19" i="14"/>
  <c r="F19" i="14"/>
  <c r="D19" i="14"/>
  <c r="C19" i="14"/>
  <c r="B19" i="14"/>
  <c r="G18" i="14"/>
  <c r="F18" i="14"/>
  <c r="E18" i="14"/>
  <c r="C18" i="14"/>
  <c r="B18" i="14"/>
  <c r="G17" i="14"/>
  <c r="F17" i="14"/>
  <c r="E17" i="14"/>
  <c r="D17" i="14"/>
  <c r="B17" i="14"/>
  <c r="G16" i="14"/>
  <c r="F16" i="14"/>
  <c r="E16" i="14"/>
  <c r="D16" i="14"/>
  <c r="C16" i="14"/>
  <c r="B6" i="14"/>
  <c r="D6" i="14"/>
  <c r="E6" i="14"/>
  <c r="F6" i="14"/>
  <c r="G6" i="14"/>
  <c r="B7" i="14"/>
  <c r="C7" i="14"/>
  <c r="E7" i="14"/>
  <c r="F7" i="14"/>
  <c r="G7" i="14"/>
  <c r="B8" i="14"/>
  <c r="C8" i="14"/>
  <c r="D8" i="14"/>
  <c r="F8" i="14"/>
  <c r="G8" i="14"/>
  <c r="B9" i="14"/>
  <c r="C9" i="14"/>
  <c r="D9" i="14"/>
  <c r="E9" i="14"/>
  <c r="G9" i="14"/>
  <c r="B10" i="14"/>
  <c r="C10" i="14"/>
  <c r="D10" i="14"/>
  <c r="E10" i="14"/>
  <c r="F10" i="14"/>
  <c r="C5" i="14"/>
  <c r="D5" i="14"/>
  <c r="E5" i="14"/>
  <c r="F5" i="14"/>
  <c r="G5" i="14"/>
  <c r="B5" i="14"/>
  <c r="B16" i="13"/>
  <c r="B23" i="7"/>
  <c r="B12" i="7"/>
  <c r="B16" i="7"/>
  <c r="C17" i="7"/>
  <c r="D18" i="7"/>
  <c r="E19" i="7"/>
  <c r="F20" i="7"/>
  <c r="G21" i="7"/>
  <c r="G10" i="7"/>
  <c r="F9" i="7"/>
  <c r="E8" i="7"/>
  <c r="D7" i="7"/>
  <c r="C6" i="7"/>
  <c r="B5" i="7"/>
  <c r="C5" i="7"/>
  <c r="D5" i="7"/>
  <c r="E5" i="7"/>
  <c r="F5" i="7"/>
  <c r="B5" i="4"/>
  <c r="C5" i="4"/>
  <c r="D5" i="4"/>
  <c r="E5" i="4"/>
  <c r="F5" i="4"/>
  <c r="B16" i="11"/>
  <c r="C16" i="11"/>
  <c r="D16" i="11"/>
  <c r="E16" i="11"/>
  <c r="B5" i="11"/>
  <c r="C5" i="11"/>
  <c r="D5" i="11"/>
  <c r="E5" i="11"/>
  <c r="B12" i="13"/>
  <c r="B23" i="13"/>
  <c r="F20" i="13"/>
  <c r="E19" i="13"/>
  <c r="D18" i="13"/>
  <c r="C17" i="13"/>
  <c r="F9" i="13"/>
  <c r="E8" i="13"/>
  <c r="D7" i="13"/>
  <c r="C6" i="13"/>
  <c r="E20" i="13"/>
  <c r="D20" i="13"/>
  <c r="C20" i="13"/>
  <c r="B20" i="13"/>
  <c r="F19" i="13"/>
  <c r="D19" i="13"/>
  <c r="C19" i="13"/>
  <c r="B19" i="13"/>
  <c r="F18" i="13"/>
  <c r="E18" i="13"/>
  <c r="C18" i="13"/>
  <c r="B18" i="13"/>
  <c r="F17" i="13"/>
  <c r="E17" i="13"/>
  <c r="D17" i="13"/>
  <c r="B17" i="13"/>
  <c r="F16" i="13"/>
  <c r="E16" i="13"/>
  <c r="D16" i="13"/>
  <c r="C16" i="13"/>
  <c r="B6" i="13"/>
  <c r="D6" i="13"/>
  <c r="E6" i="13"/>
  <c r="F6" i="13"/>
  <c r="B7" i="13"/>
  <c r="C7" i="13"/>
  <c r="E7" i="13"/>
  <c r="F7" i="13"/>
  <c r="B8" i="13"/>
  <c r="C8" i="13"/>
  <c r="D8" i="13"/>
  <c r="F8" i="13"/>
  <c r="B9" i="13"/>
  <c r="C9" i="13"/>
  <c r="D9" i="13"/>
  <c r="E9" i="13"/>
  <c r="C5" i="13"/>
  <c r="D5" i="13"/>
  <c r="E5" i="13"/>
  <c r="F5" i="13"/>
  <c r="B5" i="13"/>
  <c r="F20" i="11"/>
  <c r="B23" i="11"/>
  <c r="B12" i="11"/>
  <c r="E19" i="11"/>
  <c r="D18" i="11"/>
  <c r="C17" i="11"/>
  <c r="F9" i="11"/>
  <c r="E8" i="11"/>
  <c r="D7" i="11"/>
  <c r="C6" i="11"/>
  <c r="E20" i="11"/>
  <c r="D20" i="11"/>
  <c r="C20" i="11"/>
  <c r="B20" i="11"/>
  <c r="F19" i="11"/>
  <c r="D19" i="11"/>
  <c r="C19" i="11"/>
  <c r="B19" i="11"/>
  <c r="F18" i="11"/>
  <c r="E18" i="11"/>
  <c r="C18" i="11"/>
  <c r="B18" i="11"/>
  <c r="F17" i="11"/>
  <c r="E17" i="11"/>
  <c r="D17" i="11"/>
  <c r="B17" i="11"/>
  <c r="F16" i="11"/>
  <c r="B6" i="11"/>
  <c r="D6" i="11"/>
  <c r="E6" i="11"/>
  <c r="F6" i="11"/>
  <c r="B7" i="11"/>
  <c r="C7" i="11"/>
  <c r="E7" i="11"/>
  <c r="F7" i="11"/>
  <c r="B8" i="11"/>
  <c r="C8" i="11"/>
  <c r="D8" i="11"/>
  <c r="F8" i="11"/>
  <c r="B9" i="11"/>
  <c r="C9" i="11"/>
  <c r="D9" i="11"/>
  <c r="E9" i="11"/>
  <c r="F5" i="11"/>
  <c r="P23" i="10" l="1"/>
  <c r="P16" i="10"/>
  <c r="U21" i="10"/>
  <c r="T21" i="10"/>
  <c r="S21" i="10"/>
  <c r="R21" i="10"/>
  <c r="Q21" i="10"/>
  <c r="P21" i="10"/>
  <c r="U20" i="10"/>
  <c r="T20" i="10"/>
  <c r="S20" i="10"/>
  <c r="R20" i="10"/>
  <c r="Q20" i="10"/>
  <c r="P20" i="10"/>
  <c r="U19" i="10"/>
  <c r="T19" i="10"/>
  <c r="S19" i="10"/>
  <c r="R19" i="10"/>
  <c r="Q19" i="10"/>
  <c r="P19" i="10"/>
  <c r="U18" i="10"/>
  <c r="T18" i="10"/>
  <c r="S18" i="10"/>
  <c r="R18" i="10"/>
  <c r="Q18" i="10"/>
  <c r="P18" i="10"/>
  <c r="U17" i="10"/>
  <c r="T17" i="10"/>
  <c r="S17" i="10"/>
  <c r="R17" i="10"/>
  <c r="Q17" i="10"/>
  <c r="P17" i="10"/>
  <c r="U16" i="10"/>
  <c r="T16" i="10"/>
  <c r="S16" i="10"/>
  <c r="R16" i="10"/>
  <c r="Q16" i="10"/>
  <c r="P12" i="10"/>
  <c r="R5" i="10"/>
  <c r="S5" i="10"/>
  <c r="S6" i="10"/>
  <c r="T5" i="10"/>
  <c r="T6" i="10"/>
  <c r="T7" i="10"/>
  <c r="U5" i="10"/>
  <c r="U6" i="10"/>
  <c r="U7" i="10"/>
  <c r="U8" i="10"/>
  <c r="S10" i="10"/>
  <c r="R9" i="10"/>
  <c r="R10" i="10"/>
  <c r="Q8" i="10"/>
  <c r="Q9" i="10"/>
  <c r="Q10" i="10"/>
  <c r="Q5" i="10"/>
  <c r="R6" i="10"/>
  <c r="S7" i="10"/>
  <c r="T8" i="10"/>
  <c r="U9" i="10"/>
  <c r="T10" i="10"/>
  <c r="S9" i="10"/>
  <c r="R8" i="10"/>
  <c r="Q7" i="10"/>
  <c r="P7" i="10"/>
  <c r="P8" i="10"/>
  <c r="P9" i="10"/>
  <c r="P10" i="10"/>
  <c r="P6" i="10"/>
  <c r="U10" i="10"/>
  <c r="T9" i="10"/>
  <c r="S8" i="10"/>
  <c r="R7" i="10"/>
  <c r="Q6" i="10"/>
  <c r="P5" i="10"/>
  <c r="D18" i="8"/>
  <c r="D6" i="8"/>
  <c r="E6" i="8"/>
  <c r="F6" i="8"/>
  <c r="G6" i="8"/>
  <c r="C7" i="8"/>
  <c r="C8" i="8"/>
  <c r="C9" i="8"/>
  <c r="C10" i="8"/>
  <c r="B8" i="8"/>
  <c r="B9" i="8"/>
  <c r="B10" i="8"/>
  <c r="B7" i="8"/>
  <c r="B6" i="8"/>
  <c r="C6" i="8"/>
  <c r="B5" i="8"/>
  <c r="F20" i="8"/>
  <c r="B23" i="8"/>
  <c r="E19" i="8"/>
  <c r="B16" i="8"/>
  <c r="C17" i="8"/>
  <c r="G21" i="8"/>
  <c r="D7" i="8"/>
  <c r="E8" i="8"/>
  <c r="F9" i="8"/>
  <c r="G10" i="8"/>
  <c r="B12" i="8"/>
  <c r="F21" i="8"/>
  <c r="E21" i="8"/>
  <c r="D21" i="8"/>
  <c r="C21" i="8"/>
  <c r="B21" i="8"/>
  <c r="G20" i="8"/>
  <c r="E20" i="8"/>
  <c r="D20" i="8"/>
  <c r="C20" i="8"/>
  <c r="B20" i="8"/>
  <c r="G19" i="8"/>
  <c r="F19" i="8"/>
  <c r="D19" i="8"/>
  <c r="C19" i="8"/>
  <c r="B19" i="8"/>
  <c r="G18" i="8"/>
  <c r="F18" i="8"/>
  <c r="E18" i="8"/>
  <c r="C18" i="8"/>
  <c r="B18" i="8"/>
  <c r="G17" i="8"/>
  <c r="F17" i="8"/>
  <c r="E17" i="8"/>
  <c r="D17" i="8"/>
  <c r="B17" i="8"/>
  <c r="G16" i="8"/>
  <c r="F16" i="8"/>
  <c r="E16" i="8"/>
  <c r="D16" i="8"/>
  <c r="C16" i="8"/>
  <c r="E7" i="8"/>
  <c r="F7" i="8"/>
  <c r="G7" i="8"/>
  <c r="D8" i="8"/>
  <c r="F8" i="8"/>
  <c r="G8" i="8"/>
  <c r="D9" i="8"/>
  <c r="E9" i="8"/>
  <c r="G9" i="8"/>
  <c r="D10" i="8"/>
  <c r="E10" i="8"/>
  <c r="F10" i="8"/>
  <c r="C5" i="8"/>
  <c r="D5" i="8"/>
  <c r="E5" i="8"/>
  <c r="F5" i="8"/>
  <c r="G5" i="8"/>
  <c r="B23" i="9" l="1"/>
  <c r="B16" i="9"/>
  <c r="C17" i="9"/>
  <c r="D18" i="9"/>
  <c r="E19" i="9"/>
  <c r="F20" i="9"/>
  <c r="G21" i="9"/>
  <c r="G10" i="9"/>
  <c r="F9" i="9"/>
  <c r="B12" i="9"/>
  <c r="E8" i="9"/>
  <c r="D7" i="9"/>
  <c r="C6" i="9"/>
  <c r="B5" i="9"/>
  <c r="B6" i="9"/>
  <c r="D6" i="9"/>
  <c r="E6" i="9"/>
  <c r="F6" i="9"/>
  <c r="G6" i="9"/>
  <c r="B7" i="9"/>
  <c r="C7" i="9"/>
  <c r="E7" i="9"/>
  <c r="F7" i="9"/>
  <c r="G7" i="9"/>
  <c r="B8" i="9"/>
  <c r="C8" i="9"/>
  <c r="D8" i="9"/>
  <c r="F8" i="9"/>
  <c r="G8" i="9"/>
  <c r="B9" i="9"/>
  <c r="C9" i="9"/>
  <c r="D9" i="9"/>
  <c r="E9" i="9"/>
  <c r="G9" i="9"/>
  <c r="B10" i="9"/>
  <c r="C10" i="9"/>
  <c r="D10" i="9"/>
  <c r="E10" i="9"/>
  <c r="F10" i="9"/>
  <c r="C16" i="9"/>
  <c r="D16" i="9"/>
  <c r="E16" i="9"/>
  <c r="F16" i="9"/>
  <c r="G16" i="9"/>
  <c r="B17" i="9"/>
  <c r="D17" i="9"/>
  <c r="E17" i="9"/>
  <c r="F17" i="9"/>
  <c r="G17" i="9"/>
  <c r="B18" i="9"/>
  <c r="C18" i="9"/>
  <c r="E18" i="9"/>
  <c r="F18" i="9"/>
  <c r="G18" i="9"/>
  <c r="B19" i="9"/>
  <c r="C19" i="9"/>
  <c r="D19" i="9"/>
  <c r="F19" i="9"/>
  <c r="G19" i="9"/>
  <c r="B20" i="9"/>
  <c r="C20" i="9"/>
  <c r="D20" i="9"/>
  <c r="E20" i="9"/>
  <c r="G20" i="9"/>
  <c r="B21" i="9"/>
  <c r="C21" i="9"/>
  <c r="D21" i="9"/>
  <c r="E21" i="9"/>
  <c r="F21" i="9"/>
  <c r="C5" i="9"/>
  <c r="D5" i="9"/>
  <c r="E5" i="9"/>
  <c r="F5" i="9"/>
  <c r="G5" i="9"/>
  <c r="B23" i="4"/>
  <c r="B12" i="4"/>
  <c r="G21" i="4"/>
  <c r="F20" i="4"/>
  <c r="E19" i="4"/>
  <c r="D18" i="4"/>
  <c r="C17" i="4"/>
  <c r="B16" i="4"/>
  <c r="G10" i="4"/>
  <c r="F9" i="4"/>
  <c r="E8" i="4"/>
  <c r="D7" i="4"/>
  <c r="C6" i="4"/>
  <c r="F21" i="4"/>
  <c r="E21" i="4"/>
  <c r="D21" i="4"/>
  <c r="C21" i="4"/>
  <c r="B21" i="4"/>
  <c r="G20" i="4"/>
  <c r="E20" i="4"/>
  <c r="D20" i="4"/>
  <c r="C20" i="4"/>
  <c r="B20" i="4"/>
  <c r="G19" i="4"/>
  <c r="F19" i="4"/>
  <c r="D19" i="4"/>
  <c r="C19" i="4"/>
  <c r="B19" i="4"/>
  <c r="G18" i="4"/>
  <c r="F18" i="4"/>
  <c r="E18" i="4"/>
  <c r="C18" i="4"/>
  <c r="B18" i="4"/>
  <c r="G17" i="4"/>
  <c r="F17" i="4"/>
  <c r="E17" i="4"/>
  <c r="D17" i="4"/>
  <c r="B17" i="4"/>
  <c r="G16" i="4"/>
  <c r="F16" i="4"/>
  <c r="E16" i="4"/>
  <c r="D16" i="4"/>
  <c r="C16" i="4"/>
  <c r="B6" i="4"/>
  <c r="D6" i="4"/>
  <c r="E6" i="4"/>
  <c r="F6" i="4"/>
  <c r="G6" i="4"/>
  <c r="B7" i="4"/>
  <c r="C7" i="4"/>
  <c r="E7" i="4"/>
  <c r="F7" i="4"/>
  <c r="G7" i="4"/>
  <c r="B8" i="4"/>
  <c r="C8" i="4"/>
  <c r="D8" i="4"/>
  <c r="F8" i="4"/>
  <c r="G8" i="4"/>
  <c r="B9" i="4"/>
  <c r="C9" i="4"/>
  <c r="D9" i="4"/>
  <c r="E9" i="4"/>
  <c r="G9" i="4"/>
  <c r="B10" i="4"/>
  <c r="C10" i="4"/>
  <c r="D10" i="4"/>
  <c r="E10" i="4"/>
  <c r="F10" i="4"/>
  <c r="G5" i="4"/>
  <c r="B18" i="7" l="1"/>
  <c r="A23" i="9" l="1"/>
  <c r="A12" i="9"/>
  <c r="G16" i="7"/>
  <c r="F21" i="7"/>
  <c r="E21" i="7"/>
  <c r="D21" i="7"/>
  <c r="C21" i="7"/>
  <c r="B21" i="7"/>
  <c r="G20" i="7"/>
  <c r="E20" i="7"/>
  <c r="D20" i="7"/>
  <c r="C20" i="7"/>
  <c r="B20" i="7"/>
  <c r="G19" i="7"/>
  <c r="F19" i="7"/>
  <c r="D19" i="7"/>
  <c r="C19" i="7"/>
  <c r="B19" i="7"/>
  <c r="G18" i="7"/>
  <c r="F18" i="7"/>
  <c r="E18" i="7"/>
  <c r="C18" i="7"/>
  <c r="G17" i="7"/>
  <c r="F17" i="7"/>
  <c r="E17" i="7"/>
  <c r="D17" i="7"/>
  <c r="B17" i="7"/>
  <c r="F16" i="7"/>
  <c r="E16" i="7"/>
  <c r="D16" i="7"/>
  <c r="C16" i="7"/>
  <c r="C10" i="7"/>
  <c r="D10" i="7"/>
  <c r="E10" i="7"/>
  <c r="F10" i="7"/>
  <c r="C9" i="7"/>
  <c r="D9" i="7"/>
  <c r="E9" i="7"/>
  <c r="G9" i="7"/>
  <c r="C8" i="7"/>
  <c r="D8" i="7"/>
  <c r="F8" i="7"/>
  <c r="G8" i="7"/>
  <c r="C7" i="7"/>
  <c r="E7" i="7"/>
  <c r="F7" i="7"/>
  <c r="G7" i="7"/>
  <c r="D6" i="7"/>
  <c r="E6" i="7"/>
  <c r="F6" i="7"/>
  <c r="G6" i="7"/>
  <c r="G5" i="7"/>
  <c r="B6" i="7"/>
  <c r="B7" i="7"/>
  <c r="B8" i="7"/>
  <c r="B9" i="7"/>
  <c r="B10" i="7"/>
</calcChain>
</file>

<file path=xl/sharedStrings.xml><?xml version="1.0" encoding="utf-8"?>
<sst xmlns="http://schemas.openxmlformats.org/spreadsheetml/2006/main" count="351" uniqueCount="19">
  <si>
    <t>HDPE</t>
  </si>
  <si>
    <t>Other</t>
  </si>
  <si>
    <t>LDPE</t>
  </si>
  <si>
    <t>PET</t>
  </si>
  <si>
    <t>PP</t>
  </si>
  <si>
    <t>PS</t>
  </si>
  <si>
    <t>Wadaba - 20 zdj / obiekt</t>
  </si>
  <si>
    <t>Wadaba Wychudzone - 4 zdj / obiekt</t>
  </si>
  <si>
    <t>Średnia</t>
  </si>
  <si>
    <t>"+" Wychudzona zwiększa dokładność;      "-" Zmniejsza</t>
  </si>
  <si>
    <t>"=" Wadaba - Wadaba Wychudzona</t>
  </si>
  <si>
    <t xml:space="preserve">HDPE   </t>
  </si>
  <si>
    <t xml:space="preserve">LDPE   </t>
  </si>
  <si>
    <t xml:space="preserve">Other   </t>
  </si>
  <si>
    <t xml:space="preserve">PET   </t>
  </si>
  <si>
    <t xml:space="preserve"> PS</t>
  </si>
  <si>
    <t>PP vs NO PP</t>
  </si>
  <si>
    <t>NO PP</t>
  </si>
  <si>
    <t>WITH 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</si>
</sst>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" fontId="0" fillId="0" borderId="0" xfId="0" applyNumberFormat="1"/>
    <xf numFmtId="0" fontId="0" fillId="0" borderId="0" xfId="0" applyNumberFormat="1"/>
    <xf numFmtId="2" fontId="0" fillId="0" borderId="0" xfId="0" applyNumberFormat="1" applyFill="1"/>
    <xf numFmtId="0" fontId="1" fillId="0" borderId="0" xfId="0" applyFont="1"/>
    <xf numFmtId="2" fontId="1" fillId="2" borderId="0" xfId="0" applyNumberFormat="1" applyFont="1" applyFill="1"/>
    <xf numFmtId="2" fontId="1" fillId="3" borderId="0" xfId="0" applyNumberFormat="1" applyFont="1" applyFill="1"/>
    <xf numFmtId="0" fontId="1" fillId="4" borderId="0" xfId="0" applyFont="1" applyFill="1"/>
    <xf numFmtId="0" fontId="0" fillId="5" borderId="0" xfId="0" applyNumberFormat="1" applyFill="1"/>
    <xf numFmtId="0" fontId="0" fillId="5" borderId="0" xfId="0" applyFill="1"/>
    <xf numFmtId="0" fontId="1" fillId="3" borderId="0" xfId="0" applyFont="1" applyFill="1"/>
    <xf numFmtId="164" fontId="1" fillId="2" borderId="0" xfId="0" applyNumberFormat="1" applyFont="1" applyFill="1"/>
    <xf numFmtId="164" fontId="0" fillId="0" borderId="0" xfId="0" applyNumberFormat="1"/>
    <xf numFmtId="0" fontId="1" fillId="6" borderId="0" xfId="0" applyFont="1" applyFill="1"/>
    <xf numFmtId="164" fontId="1" fillId="3" borderId="0" xfId="0" applyNumberFormat="1" applyFont="1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7A8C2-8EB0-4F20-895B-8FD5206E67DC}">
  <sheetPr codeName="Arkusz1"/>
  <dimension ref="A1:X48"/>
  <sheetViews>
    <sheetView topLeftCell="A39" zoomScale="97" zoomScaleNormal="97" workbookViewId="0">
      <selection activeCell="F58" sqref="F58"/>
    </sheetView>
  </sheetViews>
  <sheetFormatPr defaultRowHeight="15" x14ac:dyDescent="0.25"/>
  <cols>
    <col min="17" max="17" width="9.85546875" bestFit="1" customWidth="1"/>
  </cols>
  <sheetData>
    <row r="1" spans="1:24" x14ac:dyDescent="0.25">
      <c r="P1" s="7" t="s">
        <v>10</v>
      </c>
      <c r="Q1" s="7"/>
      <c r="R1" s="7"/>
    </row>
    <row r="2" spans="1:24" x14ac:dyDescent="0.25">
      <c r="D2" s="7" t="s">
        <v>6</v>
      </c>
      <c r="E2" s="7"/>
      <c r="K2" s="7" t="s">
        <v>7</v>
      </c>
      <c r="L2" s="7"/>
      <c r="M2" s="7"/>
      <c r="P2" s="7" t="s">
        <v>9</v>
      </c>
      <c r="Q2" s="7"/>
      <c r="R2" s="7"/>
      <c r="S2" s="7"/>
      <c r="T2" s="7"/>
      <c r="U2" s="7"/>
    </row>
    <row r="4" spans="1:24" x14ac:dyDescent="0.25">
      <c r="B4" s="8" t="s">
        <v>0</v>
      </c>
      <c r="C4" t="s">
        <v>2</v>
      </c>
      <c r="D4" t="s">
        <v>1</v>
      </c>
      <c r="E4" s="9" t="s">
        <v>3</v>
      </c>
      <c r="F4" s="9" t="s">
        <v>4</v>
      </c>
      <c r="G4" s="9" t="s">
        <v>5</v>
      </c>
      <c r="I4" s="8" t="s">
        <v>0</v>
      </c>
      <c r="J4" t="s">
        <v>2</v>
      </c>
      <c r="K4" t="s">
        <v>1</v>
      </c>
      <c r="L4" s="9" t="s">
        <v>3</v>
      </c>
      <c r="M4" s="9" t="s">
        <v>4</v>
      </c>
      <c r="N4" s="9" t="s">
        <v>5</v>
      </c>
      <c r="P4" s="8" t="s">
        <v>0</v>
      </c>
      <c r="Q4" t="s">
        <v>2</v>
      </c>
      <c r="R4" t="s">
        <v>1</v>
      </c>
      <c r="S4" s="9" t="s">
        <v>3</v>
      </c>
      <c r="T4" s="9" t="s">
        <v>4</v>
      </c>
      <c r="U4" s="9" t="s">
        <v>5</v>
      </c>
    </row>
    <row r="5" spans="1:24" x14ac:dyDescent="0.25">
      <c r="A5" s="2" t="s">
        <v>0</v>
      </c>
      <c r="B5" s="5">
        <v>0.79600000000000004</v>
      </c>
      <c r="C5" s="1">
        <v>7.5999999999999998E-2</v>
      </c>
      <c r="D5" s="1">
        <v>6.0000000000000012E-2</v>
      </c>
      <c r="E5" s="1">
        <v>1.2E-2</v>
      </c>
      <c r="F5" s="1">
        <v>0</v>
      </c>
      <c r="G5" s="1">
        <v>5.800000000000001E-2</v>
      </c>
      <c r="I5" s="5">
        <v>0.98599999999999999</v>
      </c>
      <c r="J5" s="1">
        <v>0</v>
      </c>
      <c r="K5" s="1">
        <v>2E-3</v>
      </c>
      <c r="L5" s="1">
        <v>0</v>
      </c>
      <c r="M5" s="1">
        <v>2E-3</v>
      </c>
      <c r="N5" s="1">
        <v>0.01</v>
      </c>
      <c r="P5" s="5">
        <f t="shared" ref="P5:U10" si="0">I5-B5</f>
        <v>0.18999999999999995</v>
      </c>
      <c r="Q5" s="1">
        <f t="shared" si="0"/>
        <v>-7.5999999999999998E-2</v>
      </c>
      <c r="R5" s="1">
        <f t="shared" si="0"/>
        <v>-5.800000000000001E-2</v>
      </c>
      <c r="S5" s="1">
        <f t="shared" si="0"/>
        <v>-1.2E-2</v>
      </c>
      <c r="T5" s="1">
        <f t="shared" si="0"/>
        <v>2E-3</v>
      </c>
      <c r="U5" s="1">
        <f t="shared" si="0"/>
        <v>-4.8000000000000008E-2</v>
      </c>
    </row>
    <row r="6" spans="1:24" x14ac:dyDescent="0.25">
      <c r="A6" t="s">
        <v>2</v>
      </c>
      <c r="B6" s="1">
        <v>0</v>
      </c>
      <c r="C6" s="5">
        <v>0.98399999999999999</v>
      </c>
      <c r="D6" s="1">
        <v>1.6E-2</v>
      </c>
      <c r="E6" s="1">
        <v>0</v>
      </c>
      <c r="F6" s="1">
        <v>0</v>
      </c>
      <c r="G6" s="1">
        <v>0</v>
      </c>
      <c r="I6" s="1">
        <v>0</v>
      </c>
      <c r="J6" s="5">
        <v>0.97999999999999987</v>
      </c>
      <c r="K6" s="1">
        <v>0.01</v>
      </c>
      <c r="L6" s="1">
        <v>4.0000000000000001E-3</v>
      </c>
      <c r="M6" s="1">
        <v>4.0000000000000001E-3</v>
      </c>
      <c r="N6" s="1">
        <v>4.0000000000000001E-3</v>
      </c>
      <c r="P6" s="1">
        <f t="shared" si="0"/>
        <v>0</v>
      </c>
      <c r="Q6" s="5">
        <f t="shared" si="0"/>
        <v>-4.0000000000001146E-3</v>
      </c>
      <c r="R6" s="1">
        <f t="shared" si="0"/>
        <v>-6.0000000000000001E-3</v>
      </c>
      <c r="S6" s="1">
        <f t="shared" si="0"/>
        <v>4.0000000000000001E-3</v>
      </c>
      <c r="T6" s="1">
        <f t="shared" si="0"/>
        <v>4.0000000000000001E-3</v>
      </c>
      <c r="U6" s="1">
        <f t="shared" si="0"/>
        <v>4.0000000000000001E-3</v>
      </c>
    </row>
    <row r="7" spans="1:24" x14ac:dyDescent="0.25">
      <c r="A7" t="s">
        <v>1</v>
      </c>
      <c r="B7" s="1">
        <v>0</v>
      </c>
      <c r="C7" s="1">
        <v>3.4000000000000002E-2</v>
      </c>
      <c r="D7" s="5">
        <v>0.96599999999999997</v>
      </c>
      <c r="E7" s="1">
        <v>0</v>
      </c>
      <c r="F7" s="1">
        <v>0</v>
      </c>
      <c r="G7" s="1">
        <v>0</v>
      </c>
      <c r="I7" s="1">
        <v>2E-3</v>
      </c>
      <c r="J7" s="1">
        <v>0.01</v>
      </c>
      <c r="K7" s="5">
        <v>0.97</v>
      </c>
      <c r="L7" s="1">
        <v>0.01</v>
      </c>
      <c r="M7" s="1">
        <v>4.0000000000000001E-3</v>
      </c>
      <c r="N7" s="1">
        <v>0</v>
      </c>
      <c r="P7" s="1">
        <f t="shared" si="0"/>
        <v>2E-3</v>
      </c>
      <c r="Q7" s="1">
        <f t="shared" si="0"/>
        <v>-2.4E-2</v>
      </c>
      <c r="R7" s="5">
        <f t="shared" si="0"/>
        <v>4.0000000000000036E-3</v>
      </c>
      <c r="S7" s="1">
        <f t="shared" si="0"/>
        <v>0.01</v>
      </c>
      <c r="T7" s="1">
        <f t="shared" si="0"/>
        <v>4.0000000000000001E-3</v>
      </c>
      <c r="U7" s="1">
        <f t="shared" si="0"/>
        <v>0</v>
      </c>
      <c r="X7" s="4"/>
    </row>
    <row r="8" spans="1:24" x14ac:dyDescent="0.25">
      <c r="A8" t="s">
        <v>3</v>
      </c>
      <c r="B8" s="1">
        <v>0.02</v>
      </c>
      <c r="C8" s="1">
        <v>0.21000000000000002</v>
      </c>
      <c r="D8" s="1">
        <v>0.16999999999999998</v>
      </c>
      <c r="E8" s="5">
        <v>0.56399999999999995</v>
      </c>
      <c r="F8" s="1">
        <v>8.0000000000000002E-3</v>
      </c>
      <c r="G8" s="1">
        <v>3.2000000000000001E-2</v>
      </c>
      <c r="I8" s="1">
        <v>8.2000000000000003E-2</v>
      </c>
      <c r="J8" s="1">
        <v>7.400000000000001E-2</v>
      </c>
      <c r="K8" s="1">
        <v>9.1999999999999998E-2</v>
      </c>
      <c r="L8" s="5">
        <v>0.68</v>
      </c>
      <c r="M8" s="1">
        <v>2.7999999999999997E-2</v>
      </c>
      <c r="N8" s="1">
        <v>4.5999999999999999E-2</v>
      </c>
      <c r="P8" s="1">
        <f t="shared" si="0"/>
        <v>6.2E-2</v>
      </c>
      <c r="Q8" s="1">
        <f t="shared" si="0"/>
        <v>-0.13600000000000001</v>
      </c>
      <c r="R8" s="1">
        <f t="shared" si="0"/>
        <v>-7.7999999999999986E-2</v>
      </c>
      <c r="S8" s="5">
        <f t="shared" si="0"/>
        <v>0.1160000000000001</v>
      </c>
      <c r="T8" s="1">
        <f t="shared" si="0"/>
        <v>1.9999999999999997E-2</v>
      </c>
      <c r="U8" s="1">
        <f t="shared" si="0"/>
        <v>1.3999999999999999E-2</v>
      </c>
    </row>
    <row r="9" spans="1:24" x14ac:dyDescent="0.25">
      <c r="A9" t="s">
        <v>4</v>
      </c>
      <c r="B9" s="1">
        <v>8.6000000000000007E-2</v>
      </c>
      <c r="C9" s="1">
        <v>0.29200000000000004</v>
      </c>
      <c r="D9" s="1">
        <v>0.28600000000000003</v>
      </c>
      <c r="E9" s="1">
        <v>9.1999999999999998E-2</v>
      </c>
      <c r="F9" s="5">
        <v>9.4E-2</v>
      </c>
      <c r="G9" s="1">
        <v>0.14599999999999999</v>
      </c>
      <c r="I9" s="1">
        <v>0.11000000000000001</v>
      </c>
      <c r="J9" s="1">
        <v>0.14800000000000002</v>
      </c>
      <c r="K9" s="1">
        <v>0.14800000000000002</v>
      </c>
      <c r="L9" s="1">
        <v>0.122</v>
      </c>
      <c r="M9" s="5">
        <v>0.30399999999999999</v>
      </c>
      <c r="N9" s="1">
        <v>0.16800000000000001</v>
      </c>
      <c r="P9" s="1">
        <f t="shared" si="0"/>
        <v>2.4000000000000007E-2</v>
      </c>
      <c r="Q9" s="1">
        <f t="shared" si="0"/>
        <v>-0.14400000000000002</v>
      </c>
      <c r="R9" s="1">
        <f t="shared" si="0"/>
        <v>-0.13800000000000001</v>
      </c>
      <c r="S9" s="1">
        <f t="shared" si="0"/>
        <v>0.03</v>
      </c>
      <c r="T9" s="5">
        <f t="shared" si="0"/>
        <v>0.21</v>
      </c>
      <c r="U9" s="1">
        <f t="shared" si="0"/>
        <v>2.200000000000002E-2</v>
      </c>
    </row>
    <row r="10" spans="1:24" x14ac:dyDescent="0.25">
      <c r="A10" t="s">
        <v>5</v>
      </c>
      <c r="B10" s="1">
        <v>3.4000000000000002E-2</v>
      </c>
      <c r="C10" s="1">
        <v>0.10400000000000001</v>
      </c>
      <c r="D10" s="1">
        <v>0.10999999999999999</v>
      </c>
      <c r="E10" s="1">
        <v>0.01</v>
      </c>
      <c r="F10" s="1">
        <v>6.0000000000000001E-3</v>
      </c>
      <c r="G10" s="5">
        <v>0.73199999999999998</v>
      </c>
      <c r="I10" s="1">
        <v>3.2000000000000001E-2</v>
      </c>
      <c r="J10" s="1">
        <v>4.0000000000000001E-3</v>
      </c>
      <c r="K10" s="1">
        <v>1.6E-2</v>
      </c>
      <c r="L10" s="1">
        <v>2E-3</v>
      </c>
      <c r="M10" s="1">
        <v>6.0000000000000001E-3</v>
      </c>
      <c r="N10" s="5">
        <v>0.93399999999999994</v>
      </c>
      <c r="P10" s="1">
        <f t="shared" si="0"/>
        <v>-2.0000000000000018E-3</v>
      </c>
      <c r="Q10" s="1">
        <f t="shared" si="0"/>
        <v>-0.1</v>
      </c>
      <c r="R10" s="1">
        <f t="shared" si="0"/>
        <v>-9.3999999999999986E-2</v>
      </c>
      <c r="S10" s="1">
        <f t="shared" si="0"/>
        <v>-8.0000000000000002E-3</v>
      </c>
      <c r="T10" s="1">
        <f t="shared" si="0"/>
        <v>0</v>
      </c>
      <c r="U10" s="5">
        <f t="shared" si="0"/>
        <v>0.20199999999999996</v>
      </c>
    </row>
    <row r="11" spans="1:24" x14ac:dyDescent="0.25">
      <c r="B11" s="1"/>
      <c r="C11" s="1"/>
      <c r="D11" s="1"/>
      <c r="E11" s="1"/>
      <c r="F11" s="1"/>
      <c r="G11" s="1"/>
      <c r="I11" s="1"/>
      <c r="J11" s="1"/>
      <c r="K11" s="1"/>
      <c r="L11" s="1"/>
      <c r="M11" s="1"/>
      <c r="N11" s="1"/>
      <c r="P11" s="1"/>
      <c r="Q11" s="1"/>
      <c r="R11" s="1"/>
      <c r="S11" s="1"/>
      <c r="T11" s="1"/>
      <c r="U11" s="1"/>
    </row>
    <row r="12" spans="1:24" x14ac:dyDescent="0.25">
      <c r="A12" t="s">
        <v>8</v>
      </c>
      <c r="B12" s="5">
        <v>0.69000000000000006</v>
      </c>
      <c r="C12" s="1"/>
      <c r="D12" s="1"/>
      <c r="E12" s="1"/>
      <c r="F12" s="1"/>
      <c r="G12" s="1"/>
      <c r="I12" s="5">
        <v>0.80800000000000005</v>
      </c>
      <c r="J12" s="1"/>
      <c r="K12" s="1"/>
      <c r="L12" s="1"/>
      <c r="M12" s="1"/>
      <c r="N12" s="1"/>
      <c r="P12" s="5">
        <f>I12-B12</f>
        <v>0.11799999999999999</v>
      </c>
      <c r="Q12" s="1"/>
      <c r="R12" s="1"/>
      <c r="S12" s="1"/>
      <c r="T12" s="1"/>
      <c r="U12" s="1"/>
    </row>
    <row r="13" spans="1:24" x14ac:dyDescent="0.25">
      <c r="B13" s="1"/>
      <c r="C13" s="1"/>
      <c r="D13" s="1"/>
      <c r="E13" s="1"/>
      <c r="F13" s="1"/>
      <c r="G13" s="1"/>
      <c r="I13" s="2"/>
    </row>
    <row r="14" spans="1:24" x14ac:dyDescent="0.25">
      <c r="B14" s="1"/>
      <c r="C14" s="1"/>
      <c r="D14" s="1"/>
      <c r="E14" s="1"/>
      <c r="F14" s="1"/>
      <c r="G14" s="1"/>
      <c r="I14" s="2"/>
    </row>
    <row r="15" spans="1:24" x14ac:dyDescent="0.25">
      <c r="B15" s="8" t="s">
        <v>0</v>
      </c>
      <c r="C15" t="s">
        <v>2</v>
      </c>
      <c r="D15" t="s">
        <v>1</v>
      </c>
      <c r="E15" s="9" t="s">
        <v>3</v>
      </c>
      <c r="F15" s="9" t="s">
        <v>4</v>
      </c>
      <c r="G15" s="9" t="s">
        <v>5</v>
      </c>
      <c r="I15" s="8" t="s">
        <v>0</v>
      </c>
      <c r="J15" t="s">
        <v>2</v>
      </c>
      <c r="K15" t="s">
        <v>1</v>
      </c>
      <c r="L15" s="9" t="s">
        <v>3</v>
      </c>
      <c r="M15" s="9" t="s">
        <v>4</v>
      </c>
      <c r="N15" s="9" t="s">
        <v>5</v>
      </c>
      <c r="P15" s="8" t="s">
        <v>0</v>
      </c>
      <c r="Q15" t="s">
        <v>2</v>
      </c>
      <c r="R15" t="s">
        <v>1</v>
      </c>
      <c r="S15" s="9" t="s">
        <v>3</v>
      </c>
      <c r="T15" s="9" t="s">
        <v>4</v>
      </c>
      <c r="U15" s="9" t="s">
        <v>5</v>
      </c>
    </row>
    <row r="16" spans="1:24" x14ac:dyDescent="0.25">
      <c r="A16" s="2" t="s">
        <v>0</v>
      </c>
      <c r="B16" s="5">
        <v>0.61799999999999999</v>
      </c>
      <c r="C16" s="1">
        <v>8.199999999999999E-2</v>
      </c>
      <c r="D16" s="1">
        <v>0.11200000000000002</v>
      </c>
      <c r="E16" s="1">
        <v>4.3999999999999997E-2</v>
      </c>
      <c r="F16" s="1">
        <v>1.4000000000000002E-2</v>
      </c>
      <c r="G16" s="1">
        <v>0.13599999999999998</v>
      </c>
      <c r="I16" s="5">
        <v>0.64399999999999991</v>
      </c>
      <c r="J16" s="1">
        <v>1.2E-2</v>
      </c>
      <c r="K16" s="1">
        <v>6.7999999999999991E-2</v>
      </c>
      <c r="L16" s="1">
        <v>6.7999999999999991E-2</v>
      </c>
      <c r="M16" s="1">
        <v>0.06</v>
      </c>
      <c r="N16" s="1">
        <v>0.158</v>
      </c>
      <c r="P16" s="5">
        <f t="shared" ref="P16:U21" si="1">I16-B16</f>
        <v>2.5999999999999912E-2</v>
      </c>
      <c r="Q16" s="1">
        <f t="shared" si="1"/>
        <v>-6.9999999999999993E-2</v>
      </c>
      <c r="R16" s="1">
        <f t="shared" si="1"/>
        <v>-4.4000000000000025E-2</v>
      </c>
      <c r="S16" s="1">
        <f t="shared" si="1"/>
        <v>2.3999999999999994E-2</v>
      </c>
      <c r="T16" s="1">
        <f t="shared" si="1"/>
        <v>4.5999999999999999E-2</v>
      </c>
      <c r="U16" s="1">
        <f t="shared" si="1"/>
        <v>2.200000000000002E-2</v>
      </c>
    </row>
    <row r="17" spans="1:21" x14ac:dyDescent="0.25">
      <c r="A17" t="s">
        <v>2</v>
      </c>
      <c r="B17" s="1">
        <v>0.01</v>
      </c>
      <c r="C17" s="5">
        <v>0.46800000000000008</v>
      </c>
      <c r="D17" s="1">
        <v>0.41</v>
      </c>
      <c r="E17" s="1">
        <v>0.10200000000000001</v>
      </c>
      <c r="F17" s="1">
        <v>0</v>
      </c>
      <c r="G17" s="1">
        <v>1.2E-2</v>
      </c>
      <c r="I17" s="1">
        <v>0.02</v>
      </c>
      <c r="J17" s="5">
        <v>0.48799999999999988</v>
      </c>
      <c r="K17" s="1">
        <v>0.28000000000000003</v>
      </c>
      <c r="L17" s="1">
        <v>9.6000000000000002E-2</v>
      </c>
      <c r="M17" s="1">
        <v>6.4000000000000001E-2</v>
      </c>
      <c r="N17" s="1">
        <v>5.2000000000000005E-2</v>
      </c>
      <c r="P17" s="1">
        <f t="shared" si="1"/>
        <v>0.01</v>
      </c>
      <c r="Q17" s="5">
        <f t="shared" si="1"/>
        <v>1.9999999999999796E-2</v>
      </c>
      <c r="R17" s="1">
        <f t="shared" si="1"/>
        <v>-0.12999999999999995</v>
      </c>
      <c r="S17" s="1">
        <f t="shared" si="1"/>
        <v>-6.0000000000000053E-3</v>
      </c>
      <c r="T17" s="1">
        <f t="shared" si="1"/>
        <v>6.4000000000000001E-2</v>
      </c>
      <c r="U17" s="1">
        <f t="shared" si="1"/>
        <v>4.0000000000000008E-2</v>
      </c>
    </row>
    <row r="18" spans="1:21" x14ac:dyDescent="0.25">
      <c r="A18" t="s">
        <v>1</v>
      </c>
      <c r="B18" s="1">
        <v>3.0000000000000006E-2</v>
      </c>
      <c r="C18" s="1">
        <v>0.376</v>
      </c>
      <c r="D18" s="5">
        <v>0.46200000000000002</v>
      </c>
      <c r="E18" s="1">
        <v>0.10800000000000001</v>
      </c>
      <c r="F18" s="1">
        <v>0</v>
      </c>
      <c r="G18" s="1">
        <v>2.4E-2</v>
      </c>
      <c r="I18" s="1">
        <v>7.8E-2</v>
      </c>
      <c r="J18" s="1">
        <v>0.188</v>
      </c>
      <c r="K18" s="5">
        <v>0.502</v>
      </c>
      <c r="L18" s="1">
        <v>0.15200000000000002</v>
      </c>
      <c r="M18" s="1">
        <v>4.5999999999999999E-2</v>
      </c>
      <c r="N18" s="1">
        <v>3.4000000000000002E-2</v>
      </c>
      <c r="P18" s="1">
        <f t="shared" si="1"/>
        <v>4.7999999999999994E-2</v>
      </c>
      <c r="Q18" s="1">
        <f t="shared" si="1"/>
        <v>-0.188</v>
      </c>
      <c r="R18" s="5">
        <f t="shared" si="1"/>
        <v>3.999999999999998E-2</v>
      </c>
      <c r="S18" s="1">
        <f t="shared" si="1"/>
        <v>4.4000000000000011E-2</v>
      </c>
      <c r="T18" s="1">
        <f t="shared" si="1"/>
        <v>4.5999999999999999E-2</v>
      </c>
      <c r="U18" s="1">
        <f t="shared" si="1"/>
        <v>1.0000000000000002E-2</v>
      </c>
    </row>
    <row r="19" spans="1:21" x14ac:dyDescent="0.25">
      <c r="A19" t="s">
        <v>3</v>
      </c>
      <c r="B19" s="1">
        <v>3.4000000000000002E-2</v>
      </c>
      <c r="C19" s="1">
        <v>0.23399999999999999</v>
      </c>
      <c r="D19" s="1">
        <v>0.19600000000000001</v>
      </c>
      <c r="E19" s="5">
        <v>0.48799999999999999</v>
      </c>
      <c r="F19" s="1">
        <v>8.0000000000000002E-3</v>
      </c>
      <c r="G19" s="1">
        <v>3.6000000000000004E-2</v>
      </c>
      <c r="I19" s="1">
        <v>0.13</v>
      </c>
      <c r="J19" s="1">
        <v>0.13400000000000001</v>
      </c>
      <c r="K19" s="1">
        <v>0.11800000000000002</v>
      </c>
      <c r="L19" s="5">
        <v>0.47200000000000009</v>
      </c>
      <c r="M19" s="1">
        <v>5.4000000000000006E-2</v>
      </c>
      <c r="N19" s="1">
        <v>9.1999999999999998E-2</v>
      </c>
      <c r="P19" s="1">
        <f t="shared" si="1"/>
        <v>9.6000000000000002E-2</v>
      </c>
      <c r="Q19" s="1">
        <f t="shared" si="1"/>
        <v>-9.9999999999999978E-2</v>
      </c>
      <c r="R19" s="1">
        <f t="shared" si="1"/>
        <v>-7.7999999999999986E-2</v>
      </c>
      <c r="S19" s="5">
        <f t="shared" si="1"/>
        <v>-1.5999999999999903E-2</v>
      </c>
      <c r="T19" s="1">
        <f t="shared" si="1"/>
        <v>4.6000000000000006E-2</v>
      </c>
      <c r="U19" s="1">
        <f t="shared" si="1"/>
        <v>5.5999999999999994E-2</v>
      </c>
    </row>
    <row r="20" spans="1:21" x14ac:dyDescent="0.25">
      <c r="A20" t="s">
        <v>4</v>
      </c>
      <c r="B20" s="1">
        <v>0.10600000000000001</v>
      </c>
      <c r="C20" s="1">
        <v>0.252</v>
      </c>
      <c r="D20" s="1">
        <v>0.28799999999999998</v>
      </c>
      <c r="E20" s="1">
        <v>0.126</v>
      </c>
      <c r="F20" s="5">
        <v>3.2000000000000001E-2</v>
      </c>
      <c r="G20" s="1">
        <v>0.19800000000000001</v>
      </c>
      <c r="I20" s="1">
        <v>0.13200000000000001</v>
      </c>
      <c r="J20" s="1">
        <v>0.20600000000000002</v>
      </c>
      <c r="K20" s="1">
        <v>0.15999999999999998</v>
      </c>
      <c r="L20" s="1">
        <v>0.188</v>
      </c>
      <c r="M20" s="5">
        <v>6.9999999999999993E-2</v>
      </c>
      <c r="N20" s="1">
        <v>0.25</v>
      </c>
      <c r="P20" s="1">
        <f t="shared" si="1"/>
        <v>2.5999999999999995E-2</v>
      </c>
      <c r="Q20" s="1">
        <f t="shared" si="1"/>
        <v>-4.5999999999999985E-2</v>
      </c>
      <c r="R20" s="1">
        <f t="shared" si="1"/>
        <v>-0.128</v>
      </c>
      <c r="S20" s="1">
        <f t="shared" si="1"/>
        <v>6.2E-2</v>
      </c>
      <c r="T20" s="5">
        <f t="shared" si="1"/>
        <v>3.7999999999999992E-2</v>
      </c>
      <c r="U20" s="1">
        <f t="shared" si="1"/>
        <v>5.1999999999999991E-2</v>
      </c>
    </row>
    <row r="21" spans="1:21" x14ac:dyDescent="0.25">
      <c r="A21" t="s">
        <v>5</v>
      </c>
      <c r="B21" s="1">
        <v>0.124</v>
      </c>
      <c r="C21" s="1">
        <v>0.158</v>
      </c>
      <c r="D21" s="1">
        <v>0.17599999999999999</v>
      </c>
      <c r="E21" s="1">
        <v>5.800000000000001E-2</v>
      </c>
      <c r="F21" s="1">
        <v>2.6000000000000002E-2</v>
      </c>
      <c r="G21" s="5">
        <v>0.45999999999999996</v>
      </c>
      <c r="I21" s="1">
        <v>0.20800000000000002</v>
      </c>
      <c r="J21" s="1">
        <v>0.03</v>
      </c>
      <c r="K21" s="1">
        <v>0.128</v>
      </c>
      <c r="L21" s="1">
        <v>8.2000000000000003E-2</v>
      </c>
      <c r="M21" s="1">
        <v>0.10600000000000001</v>
      </c>
      <c r="N21" s="5">
        <v>0.45199999999999996</v>
      </c>
      <c r="P21" s="1">
        <f t="shared" si="1"/>
        <v>8.4000000000000019E-2</v>
      </c>
      <c r="Q21" s="1">
        <f t="shared" si="1"/>
        <v>-0.128</v>
      </c>
      <c r="R21" s="1">
        <f t="shared" si="1"/>
        <v>-4.7999999999999987E-2</v>
      </c>
      <c r="S21" s="1">
        <f t="shared" si="1"/>
        <v>2.3999999999999994E-2</v>
      </c>
      <c r="T21" s="1">
        <f t="shared" si="1"/>
        <v>8.0000000000000016E-2</v>
      </c>
      <c r="U21" s="5">
        <f t="shared" si="1"/>
        <v>-8.0000000000000071E-3</v>
      </c>
    </row>
    <row r="22" spans="1:21" x14ac:dyDescent="0.25">
      <c r="B22" s="1"/>
      <c r="C22" s="1"/>
      <c r="D22" s="1"/>
      <c r="E22" s="1"/>
      <c r="F22" s="1"/>
      <c r="G22" s="1"/>
      <c r="I22" s="1"/>
      <c r="J22" s="1"/>
      <c r="K22" s="1"/>
      <c r="L22" s="1"/>
      <c r="M22" s="1"/>
      <c r="N22" s="1"/>
      <c r="P22" s="1"/>
      <c r="Q22" s="1"/>
      <c r="R22" s="1"/>
      <c r="S22" s="1"/>
      <c r="T22" s="1"/>
      <c r="U22" s="1"/>
    </row>
    <row r="23" spans="1:21" x14ac:dyDescent="0.25">
      <c r="A23" t="s">
        <v>8</v>
      </c>
      <c r="B23" s="11">
        <v>0.42200000000000004</v>
      </c>
      <c r="C23" s="1"/>
      <c r="D23" s="1"/>
      <c r="E23" s="1"/>
      <c r="F23" s="1"/>
      <c r="G23" s="1"/>
      <c r="I23" s="11">
        <v>0.43600000000000005</v>
      </c>
      <c r="J23" s="1"/>
      <c r="K23" s="1"/>
      <c r="L23" s="1"/>
      <c r="M23" s="1"/>
      <c r="N23" s="1"/>
      <c r="P23" s="5">
        <f>I23-B23</f>
        <v>1.4000000000000012E-2</v>
      </c>
      <c r="Q23" s="1"/>
      <c r="R23" s="1"/>
      <c r="S23" s="1"/>
      <c r="T23" s="1"/>
      <c r="U23" s="1"/>
    </row>
    <row r="27" spans="1:21" x14ac:dyDescent="0.25">
      <c r="B27" t="s">
        <v>16</v>
      </c>
    </row>
    <row r="28" spans="1:21" x14ac:dyDescent="0.25">
      <c r="E28" s="13" t="s">
        <v>18</v>
      </c>
      <c r="M28" s="13" t="s">
        <v>17</v>
      </c>
    </row>
    <row r="29" spans="1:21" x14ac:dyDescent="0.25">
      <c r="C29" s="2" t="s">
        <v>0</v>
      </c>
      <c r="D29" t="s">
        <v>2</v>
      </c>
      <c r="E29" t="s">
        <v>1</v>
      </c>
      <c r="F29" t="s">
        <v>3</v>
      </c>
      <c r="G29" t="s">
        <v>4</v>
      </c>
      <c r="H29" t="s">
        <v>5</v>
      </c>
      <c r="K29" s="1" t="s">
        <v>11</v>
      </c>
      <c r="L29" s="1" t="s">
        <v>12</v>
      </c>
      <c r="M29" s="1" t="s">
        <v>13</v>
      </c>
      <c r="N29" s="1" t="s">
        <v>14</v>
      </c>
      <c r="O29" s="1" t="s">
        <v>15</v>
      </c>
    </row>
    <row r="30" spans="1:21" x14ac:dyDescent="0.25">
      <c r="B30" s="2" t="s">
        <v>0</v>
      </c>
      <c r="C30" s="5">
        <v>0.98599999999999999</v>
      </c>
      <c r="D30" s="1">
        <v>0</v>
      </c>
      <c r="E30" s="1">
        <v>2E-3</v>
      </c>
      <c r="F30" s="1">
        <v>0</v>
      </c>
      <c r="G30" s="1">
        <v>2E-3</v>
      </c>
      <c r="H30" s="1">
        <v>0.01</v>
      </c>
      <c r="J30" s="1" t="s">
        <v>11</v>
      </c>
      <c r="K30" s="6">
        <v>0.97399999999999998</v>
      </c>
      <c r="L30" s="1">
        <v>0</v>
      </c>
      <c r="M30" s="1">
        <v>4.0000000000000001E-3</v>
      </c>
      <c r="N30" s="1">
        <v>0</v>
      </c>
      <c r="O30" s="1">
        <v>1.7999999999999999E-2</v>
      </c>
    </row>
    <row r="31" spans="1:21" x14ac:dyDescent="0.25">
      <c r="B31" t="s">
        <v>2</v>
      </c>
      <c r="C31" s="1">
        <v>0</v>
      </c>
      <c r="D31" s="5">
        <v>0.97999999999999987</v>
      </c>
      <c r="E31" s="1">
        <v>0.01</v>
      </c>
      <c r="F31" s="1">
        <v>4.0000000000000001E-3</v>
      </c>
      <c r="G31" s="1">
        <v>4.0000000000000001E-3</v>
      </c>
      <c r="H31" s="1">
        <v>4.0000000000000001E-3</v>
      </c>
      <c r="J31" s="1" t="s">
        <v>12</v>
      </c>
      <c r="K31" s="1">
        <v>0</v>
      </c>
      <c r="L31" s="6">
        <v>0.97599999999999976</v>
      </c>
      <c r="M31" s="1">
        <v>1.4000000000000002E-2</v>
      </c>
      <c r="N31" s="1">
        <v>0.01</v>
      </c>
      <c r="O31" s="1">
        <v>0</v>
      </c>
    </row>
    <row r="32" spans="1:21" x14ac:dyDescent="0.25">
      <c r="B32" t="s">
        <v>1</v>
      </c>
      <c r="C32" s="1">
        <v>2E-3</v>
      </c>
      <c r="D32" s="1">
        <v>0.01</v>
      </c>
      <c r="E32" s="5">
        <v>0.97</v>
      </c>
      <c r="F32" s="1">
        <v>0.01</v>
      </c>
      <c r="G32" s="1">
        <v>4.0000000000000001E-3</v>
      </c>
      <c r="H32" s="1">
        <v>0</v>
      </c>
      <c r="J32" s="1" t="s">
        <v>13</v>
      </c>
      <c r="K32" s="1">
        <v>2E-3</v>
      </c>
      <c r="L32" s="1">
        <v>1.9999999999999997E-2</v>
      </c>
      <c r="M32" s="6">
        <v>0.95599999999999985</v>
      </c>
      <c r="N32" s="1">
        <v>1.6E-2</v>
      </c>
      <c r="O32" s="1">
        <v>4.0000000000000001E-3</v>
      </c>
    </row>
    <row r="33" spans="2:15" x14ac:dyDescent="0.25">
      <c r="B33" t="s">
        <v>3</v>
      </c>
      <c r="C33" s="1">
        <v>8.2000000000000003E-2</v>
      </c>
      <c r="D33" s="1">
        <v>7.400000000000001E-2</v>
      </c>
      <c r="E33" s="1">
        <v>9.1999999999999998E-2</v>
      </c>
      <c r="F33" s="5">
        <v>0.68</v>
      </c>
      <c r="G33" s="1">
        <v>2.7999999999999997E-2</v>
      </c>
      <c r="H33" s="1">
        <v>4.5999999999999999E-2</v>
      </c>
      <c r="J33" s="1" t="s">
        <v>14</v>
      </c>
      <c r="K33" s="1">
        <v>7.3999999999999996E-2</v>
      </c>
      <c r="L33" s="1">
        <v>8.5999999999999993E-2</v>
      </c>
      <c r="M33" s="1">
        <v>8.6000000000000007E-2</v>
      </c>
      <c r="N33" s="6">
        <v>0.68599999999999994</v>
      </c>
      <c r="O33" s="1">
        <v>6.7999999999999991E-2</v>
      </c>
    </row>
    <row r="34" spans="2:15" x14ac:dyDescent="0.25">
      <c r="B34" t="s">
        <v>4</v>
      </c>
      <c r="C34" s="1">
        <v>0.11000000000000001</v>
      </c>
      <c r="D34" s="1">
        <v>0.14800000000000002</v>
      </c>
      <c r="E34" s="1">
        <v>0.14800000000000002</v>
      </c>
      <c r="F34" s="1">
        <v>0.122</v>
      </c>
      <c r="G34" s="5">
        <v>0.30399999999999999</v>
      </c>
      <c r="H34" s="1">
        <v>0.16800000000000001</v>
      </c>
      <c r="J34" s="1" t="s">
        <v>15</v>
      </c>
      <c r="K34" s="1">
        <v>0.03</v>
      </c>
      <c r="L34" s="1">
        <v>4.0000000000000001E-3</v>
      </c>
      <c r="M34" s="1">
        <v>2.1999999999999999E-2</v>
      </c>
      <c r="N34" s="1">
        <v>6.0000000000000001E-3</v>
      </c>
      <c r="O34" s="6">
        <v>0.93800000000000006</v>
      </c>
    </row>
    <row r="35" spans="2:15" x14ac:dyDescent="0.25">
      <c r="B35" t="s">
        <v>5</v>
      </c>
      <c r="C35" s="1">
        <v>3.2000000000000001E-2</v>
      </c>
      <c r="D35" s="1">
        <v>4.0000000000000001E-3</v>
      </c>
      <c r="E35" s="1">
        <v>1.6E-2</v>
      </c>
      <c r="F35" s="1">
        <v>2E-3</v>
      </c>
      <c r="G35" s="1">
        <v>6.0000000000000001E-3</v>
      </c>
      <c r="H35" s="5">
        <v>0.93399999999999994</v>
      </c>
      <c r="K35" s="1"/>
      <c r="L35" s="1"/>
      <c r="M35" s="1"/>
      <c r="N35" s="1"/>
      <c r="O35" s="1"/>
    </row>
    <row r="36" spans="2:15" x14ac:dyDescent="0.25">
      <c r="C36" s="1"/>
      <c r="K36" s="1"/>
      <c r="L36" s="1"/>
      <c r="M36" s="1"/>
      <c r="N36" s="1"/>
      <c r="O36" s="1"/>
    </row>
    <row r="37" spans="2:15" x14ac:dyDescent="0.25">
      <c r="C37" s="5">
        <v>0.80800000000000005</v>
      </c>
      <c r="K37" s="6">
        <v>0.90600000000000003</v>
      </c>
      <c r="L37" s="1"/>
      <c r="M37" s="1"/>
      <c r="N37" s="1"/>
      <c r="O37" s="1"/>
    </row>
    <row r="38" spans="2:15" x14ac:dyDescent="0.25">
      <c r="C38" s="2"/>
      <c r="K38" s="1"/>
      <c r="L38" s="1"/>
      <c r="M38" s="1"/>
      <c r="N38" s="1"/>
      <c r="O38" s="1"/>
    </row>
    <row r="39" spans="2:15" x14ac:dyDescent="0.25">
      <c r="C39" s="2"/>
      <c r="K39" s="1"/>
      <c r="L39" s="1"/>
      <c r="M39" s="1"/>
      <c r="N39" s="1"/>
      <c r="O39" s="1"/>
    </row>
    <row r="40" spans="2:15" x14ac:dyDescent="0.25">
      <c r="C40" s="2" t="s">
        <v>0</v>
      </c>
      <c r="D40" t="s">
        <v>2</v>
      </c>
      <c r="E40" t="s">
        <v>1</v>
      </c>
      <c r="F40" t="s">
        <v>3</v>
      </c>
      <c r="G40" t="s">
        <v>4</v>
      </c>
      <c r="H40" t="s">
        <v>5</v>
      </c>
      <c r="K40" s="1" t="s">
        <v>11</v>
      </c>
      <c r="L40" s="1" t="s">
        <v>12</v>
      </c>
      <c r="M40" s="1" t="s">
        <v>13</v>
      </c>
      <c r="N40" s="1" t="s">
        <v>14</v>
      </c>
      <c r="O40" s="1" t="s">
        <v>15</v>
      </c>
    </row>
    <row r="41" spans="2:15" x14ac:dyDescent="0.25">
      <c r="B41" s="2" t="s">
        <v>0</v>
      </c>
      <c r="C41" s="5">
        <v>0.64399999999999991</v>
      </c>
      <c r="D41" s="1">
        <v>1.2E-2</v>
      </c>
      <c r="E41" s="1">
        <v>6.7999999999999991E-2</v>
      </c>
      <c r="F41" s="1">
        <v>6.7999999999999991E-2</v>
      </c>
      <c r="G41" s="1">
        <v>0.06</v>
      </c>
      <c r="H41" s="1">
        <v>0.158</v>
      </c>
      <c r="J41" s="1" t="s">
        <v>11</v>
      </c>
      <c r="K41" s="6">
        <v>0.6379999999999999</v>
      </c>
      <c r="L41" s="1">
        <v>3.5999999999999997E-2</v>
      </c>
      <c r="M41" s="1">
        <v>5.6000000000000008E-2</v>
      </c>
      <c r="N41" s="1">
        <v>6.7999999999999991E-2</v>
      </c>
      <c r="O41" s="1">
        <v>0.20800000000000002</v>
      </c>
    </row>
    <row r="42" spans="2:15" x14ac:dyDescent="0.25">
      <c r="B42" t="s">
        <v>2</v>
      </c>
      <c r="C42" s="1">
        <v>0.02</v>
      </c>
      <c r="D42" s="5">
        <v>0.48799999999999988</v>
      </c>
      <c r="E42" s="1">
        <v>0.28000000000000003</v>
      </c>
      <c r="F42" s="1">
        <v>9.6000000000000002E-2</v>
      </c>
      <c r="G42" s="1">
        <v>6.4000000000000001E-2</v>
      </c>
      <c r="H42" s="1">
        <v>5.2000000000000005E-2</v>
      </c>
      <c r="J42" s="1" t="s">
        <v>12</v>
      </c>
      <c r="K42" s="1">
        <v>2.4E-2</v>
      </c>
      <c r="L42" s="6">
        <v>0.58200000000000007</v>
      </c>
      <c r="M42" s="1">
        <v>0.26599999999999996</v>
      </c>
      <c r="N42" s="1">
        <v>0.11200000000000002</v>
      </c>
      <c r="O42" s="1">
        <v>1.7999999999999999E-2</v>
      </c>
    </row>
    <row r="43" spans="2:15" x14ac:dyDescent="0.25">
      <c r="B43" t="s">
        <v>1</v>
      </c>
      <c r="C43" s="1">
        <v>7.8E-2</v>
      </c>
      <c r="D43" s="1">
        <v>0.188</v>
      </c>
      <c r="E43" s="5">
        <v>0.502</v>
      </c>
      <c r="F43" s="1">
        <v>0.15200000000000002</v>
      </c>
      <c r="G43" s="1">
        <v>4.5999999999999999E-2</v>
      </c>
      <c r="H43" s="1">
        <v>3.4000000000000002E-2</v>
      </c>
      <c r="J43" s="1" t="s">
        <v>13</v>
      </c>
      <c r="K43" s="1">
        <v>0.09</v>
      </c>
      <c r="L43" s="1">
        <v>0.33400000000000002</v>
      </c>
      <c r="M43" s="6">
        <v>0.40600000000000003</v>
      </c>
      <c r="N43" s="1">
        <v>0.13200000000000001</v>
      </c>
      <c r="O43" s="1">
        <v>3.7999999999999999E-2</v>
      </c>
    </row>
    <row r="44" spans="2:15" x14ac:dyDescent="0.25">
      <c r="B44" t="s">
        <v>3</v>
      </c>
      <c r="C44" s="1">
        <v>0.13</v>
      </c>
      <c r="D44" s="1">
        <v>0.13400000000000001</v>
      </c>
      <c r="E44" s="1">
        <v>0.11800000000000002</v>
      </c>
      <c r="F44" s="5">
        <v>0.47200000000000009</v>
      </c>
      <c r="G44" s="1">
        <v>5.4000000000000006E-2</v>
      </c>
      <c r="H44" s="1">
        <v>9.1999999999999998E-2</v>
      </c>
      <c r="J44" s="1" t="s">
        <v>14</v>
      </c>
      <c r="K44" s="1">
        <v>0.09</v>
      </c>
      <c r="L44" s="1">
        <v>0.13799999999999998</v>
      </c>
      <c r="M44" s="1">
        <v>0.13</v>
      </c>
      <c r="N44" s="6">
        <v>0.54200000000000004</v>
      </c>
      <c r="O44" s="1">
        <v>0.10200000000000001</v>
      </c>
    </row>
    <row r="45" spans="2:15" x14ac:dyDescent="0.25">
      <c r="B45" t="s">
        <v>4</v>
      </c>
      <c r="C45" s="1">
        <v>0.13200000000000001</v>
      </c>
      <c r="D45" s="1">
        <v>0.20600000000000002</v>
      </c>
      <c r="E45" s="1">
        <v>0.15999999999999998</v>
      </c>
      <c r="F45" s="1">
        <v>0.188</v>
      </c>
      <c r="G45" s="5">
        <v>6.9999999999999993E-2</v>
      </c>
      <c r="H45" s="1">
        <v>0.25</v>
      </c>
      <c r="J45" s="1" t="s">
        <v>15</v>
      </c>
      <c r="K45" s="1">
        <v>0.21799999999999997</v>
      </c>
      <c r="L45" s="1">
        <v>6.0000000000000012E-2</v>
      </c>
      <c r="M45" s="1">
        <v>0.122</v>
      </c>
      <c r="N45" s="1">
        <v>0.09</v>
      </c>
      <c r="O45" s="6">
        <v>0.51400000000000001</v>
      </c>
    </row>
    <row r="46" spans="2:15" x14ac:dyDescent="0.25">
      <c r="B46" t="s">
        <v>5</v>
      </c>
      <c r="C46" s="1">
        <v>0.20800000000000002</v>
      </c>
      <c r="D46" s="1">
        <v>0.03</v>
      </c>
      <c r="E46" s="1">
        <v>0.128</v>
      </c>
      <c r="F46" s="1">
        <v>8.2000000000000003E-2</v>
      </c>
      <c r="G46" s="1">
        <v>0.10600000000000001</v>
      </c>
      <c r="H46" s="5">
        <v>0.45199999999999996</v>
      </c>
    </row>
    <row r="47" spans="2:15" x14ac:dyDescent="0.25">
      <c r="C47" s="2"/>
    </row>
    <row r="48" spans="2:15" x14ac:dyDescent="0.25">
      <c r="C48" s="5">
        <v>0.43600000000000005</v>
      </c>
      <c r="D48" s="12"/>
      <c r="K48" s="6">
        <v>0.53800000000000003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DFB72-D97F-46EA-991E-73E350A02FFC}">
  <sheetPr codeName="Arkusz11"/>
  <dimension ref="A4:AP23"/>
  <sheetViews>
    <sheetView topLeftCell="A4" workbookViewId="0">
      <selection activeCell="D24" sqref="D24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6">
        <f>AVERAGE(I5,P5,W5,AD5,AK5)</f>
        <v>0.184</v>
      </c>
      <c r="C5" s="1">
        <f t="shared" ref="C5:G5" si="0">AVERAGE(J5,Q5,X5,AE5,AL5)</f>
        <v>0.52200000000000002</v>
      </c>
      <c r="D5" s="1">
        <f t="shared" si="0"/>
        <v>0.29399999999999998</v>
      </c>
      <c r="E5" s="1">
        <f t="shared" si="0"/>
        <v>0</v>
      </c>
      <c r="F5" s="1">
        <f t="shared" si="0"/>
        <v>0</v>
      </c>
      <c r="G5" s="1">
        <f t="shared" si="0"/>
        <v>0</v>
      </c>
      <c r="I5">
        <v>0.16</v>
      </c>
      <c r="J5">
        <v>0.37</v>
      </c>
      <c r="K5">
        <v>0.47</v>
      </c>
      <c r="L5">
        <v>0</v>
      </c>
      <c r="M5">
        <v>0</v>
      </c>
      <c r="N5">
        <v>0</v>
      </c>
      <c r="P5">
        <v>0.18</v>
      </c>
      <c r="Q5">
        <v>0.6</v>
      </c>
      <c r="R5">
        <v>0.22</v>
      </c>
      <c r="S5">
        <v>0</v>
      </c>
      <c r="T5">
        <v>0</v>
      </c>
      <c r="U5">
        <v>0</v>
      </c>
      <c r="W5">
        <v>0</v>
      </c>
      <c r="X5">
        <v>1</v>
      </c>
      <c r="Y5">
        <v>0</v>
      </c>
      <c r="Z5">
        <v>0</v>
      </c>
      <c r="AA5">
        <v>0</v>
      </c>
      <c r="AB5">
        <v>0</v>
      </c>
      <c r="AD5">
        <v>0.48</v>
      </c>
      <c r="AE5">
        <v>0.52</v>
      </c>
      <c r="AF5">
        <v>0</v>
      </c>
      <c r="AG5">
        <v>0</v>
      </c>
      <c r="AH5">
        <v>0</v>
      </c>
      <c r="AI5">
        <v>0</v>
      </c>
      <c r="AK5">
        <v>0.1</v>
      </c>
      <c r="AL5">
        <v>0.12</v>
      </c>
      <c r="AM5">
        <v>0.78</v>
      </c>
      <c r="AN5">
        <v>0</v>
      </c>
      <c r="AO5">
        <v>0</v>
      </c>
      <c r="AP5">
        <v>0</v>
      </c>
    </row>
    <row r="6" spans="1:42" x14ac:dyDescent="0.25">
      <c r="A6" t="s">
        <v>2</v>
      </c>
      <c r="B6" s="1">
        <f t="shared" ref="B6:B10" si="1">AVERAGE(I6,P6,W6,AD6,AK6)</f>
        <v>0</v>
      </c>
      <c r="C6" s="6">
        <f>AVERAGE(J6,Q6,X6,AE6,AL6)</f>
        <v>0.66799999999999993</v>
      </c>
      <c r="D6" s="1">
        <f t="shared" ref="D6:D10" si="2">AVERAGE(K6,R6,Y6,AF6,AM6)</f>
        <v>0.33200000000000002</v>
      </c>
      <c r="E6" s="1">
        <f t="shared" ref="E6:E10" si="3">AVERAGE(L6,S6,Z6,AG6,AN6)</f>
        <v>0</v>
      </c>
      <c r="F6" s="1">
        <f t="shared" ref="F6:F10" si="4">AVERAGE(M6,T6,AA6,AH6,AO6)</f>
        <v>0</v>
      </c>
      <c r="G6" s="1">
        <f t="shared" ref="G6:G9" si="5">AVERAGE(N6,U6,AB6,AI6,AP6)</f>
        <v>0</v>
      </c>
      <c r="I6">
        <v>0</v>
      </c>
      <c r="J6">
        <v>0.46</v>
      </c>
      <c r="K6">
        <v>0.54</v>
      </c>
      <c r="L6">
        <v>0</v>
      </c>
      <c r="M6">
        <v>0</v>
      </c>
      <c r="N6">
        <v>0</v>
      </c>
      <c r="P6">
        <v>0</v>
      </c>
      <c r="Q6">
        <v>0.46</v>
      </c>
      <c r="R6">
        <v>0.54</v>
      </c>
      <c r="S6">
        <v>0</v>
      </c>
      <c r="T6">
        <v>0</v>
      </c>
      <c r="U6">
        <v>0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0.42</v>
      </c>
      <c r="AM6">
        <v>0.57999999999999996</v>
      </c>
      <c r="AN6">
        <v>0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0</v>
      </c>
      <c r="C7" s="1">
        <f t="shared" ref="C7:C10" si="6">AVERAGE(J7,Q7,X7,AE7,AL7)</f>
        <v>0.49800000000000005</v>
      </c>
      <c r="D7" s="6">
        <f>AVERAGE(K7,R7,Y7,AF7,AM7)</f>
        <v>0.502</v>
      </c>
      <c r="E7" s="1">
        <f t="shared" si="3"/>
        <v>0</v>
      </c>
      <c r="F7" s="1">
        <f t="shared" si="4"/>
        <v>0</v>
      </c>
      <c r="G7" s="1">
        <f t="shared" si="5"/>
        <v>0</v>
      </c>
      <c r="I7">
        <v>0</v>
      </c>
      <c r="J7">
        <v>0.36</v>
      </c>
      <c r="K7">
        <v>0.64</v>
      </c>
      <c r="L7">
        <v>0</v>
      </c>
      <c r="M7">
        <v>0</v>
      </c>
      <c r="N7">
        <v>0</v>
      </c>
      <c r="P7">
        <v>0</v>
      </c>
      <c r="Q7">
        <v>0.2</v>
      </c>
      <c r="R7">
        <v>0.8</v>
      </c>
      <c r="S7">
        <v>0</v>
      </c>
      <c r="T7">
        <v>0</v>
      </c>
      <c r="U7">
        <v>0</v>
      </c>
      <c r="W7">
        <v>0</v>
      </c>
      <c r="X7">
        <v>1</v>
      </c>
      <c r="Y7">
        <v>0</v>
      </c>
      <c r="Z7">
        <v>0</v>
      </c>
      <c r="AA7">
        <v>0</v>
      </c>
      <c r="AB7">
        <v>0</v>
      </c>
      <c r="AD7">
        <v>0</v>
      </c>
      <c r="AE7">
        <v>0.67</v>
      </c>
      <c r="AF7">
        <v>0.33</v>
      </c>
      <c r="AG7">
        <v>0</v>
      </c>
      <c r="AH7">
        <v>0</v>
      </c>
      <c r="AI7">
        <v>0</v>
      </c>
      <c r="AK7">
        <v>0</v>
      </c>
      <c r="AL7">
        <v>0.26</v>
      </c>
      <c r="AM7">
        <v>0.74</v>
      </c>
      <c r="AN7">
        <v>0</v>
      </c>
      <c r="AO7">
        <v>0</v>
      </c>
      <c r="AP7">
        <v>0</v>
      </c>
    </row>
    <row r="8" spans="1:42" x14ac:dyDescent="0.25">
      <c r="A8" t="s">
        <v>3</v>
      </c>
      <c r="B8" s="1">
        <f t="shared" si="1"/>
        <v>4.0000000000000001E-3</v>
      </c>
      <c r="C8" s="1">
        <f t="shared" si="6"/>
        <v>0.73000000000000009</v>
      </c>
      <c r="D8" s="1">
        <f t="shared" si="2"/>
        <v>0.25600000000000001</v>
      </c>
      <c r="E8" s="6">
        <f>AVERAGE(L8,S8,Z8,AG8,AN8)</f>
        <v>1.4000000000000002E-2</v>
      </c>
      <c r="F8" s="1">
        <f t="shared" si="4"/>
        <v>0</v>
      </c>
      <c r="G8" s="1">
        <f t="shared" si="5"/>
        <v>0</v>
      </c>
      <c r="I8">
        <v>0</v>
      </c>
      <c r="J8">
        <v>0.69</v>
      </c>
      <c r="K8">
        <v>0.31</v>
      </c>
      <c r="L8">
        <v>0.01</v>
      </c>
      <c r="M8">
        <v>0</v>
      </c>
      <c r="N8">
        <v>0</v>
      </c>
      <c r="P8">
        <v>0</v>
      </c>
      <c r="Q8">
        <v>0.8</v>
      </c>
      <c r="R8">
        <v>0.2</v>
      </c>
      <c r="S8">
        <v>0</v>
      </c>
      <c r="T8">
        <v>0</v>
      </c>
      <c r="U8">
        <v>0</v>
      </c>
      <c r="W8">
        <v>0</v>
      </c>
      <c r="X8">
        <v>1</v>
      </c>
      <c r="Y8">
        <v>0</v>
      </c>
      <c r="Z8">
        <v>0</v>
      </c>
      <c r="AA8">
        <v>0</v>
      </c>
      <c r="AB8">
        <v>0</v>
      </c>
      <c r="AD8">
        <v>0.02</v>
      </c>
      <c r="AE8">
        <v>0.92</v>
      </c>
      <c r="AF8">
        <v>0.01</v>
      </c>
      <c r="AG8">
        <v>0.05</v>
      </c>
      <c r="AH8">
        <v>0</v>
      </c>
      <c r="AI8">
        <v>0</v>
      </c>
      <c r="AK8">
        <v>0</v>
      </c>
      <c r="AL8">
        <v>0.24</v>
      </c>
      <c r="AM8">
        <v>0.76</v>
      </c>
      <c r="AN8">
        <v>0.01</v>
      </c>
      <c r="AO8">
        <v>0</v>
      </c>
      <c r="AP8">
        <v>0</v>
      </c>
    </row>
    <row r="9" spans="1:42" x14ac:dyDescent="0.25">
      <c r="A9" t="s">
        <v>4</v>
      </c>
      <c r="B9" s="1">
        <f t="shared" si="1"/>
        <v>6.0000000000000001E-3</v>
      </c>
      <c r="C9" s="1">
        <f t="shared" si="6"/>
        <v>0.64200000000000002</v>
      </c>
      <c r="D9" s="1">
        <f t="shared" si="2"/>
        <v>0.34799999999999998</v>
      </c>
      <c r="E9" s="1">
        <f t="shared" si="3"/>
        <v>0</v>
      </c>
      <c r="F9" s="6">
        <f>AVERAGE(M9,T9,AA9,AH9,AO9)</f>
        <v>0</v>
      </c>
      <c r="G9" s="1">
        <f t="shared" si="5"/>
        <v>0</v>
      </c>
      <c r="I9">
        <v>0</v>
      </c>
      <c r="J9">
        <v>0.47</v>
      </c>
      <c r="K9">
        <v>0.53</v>
      </c>
      <c r="L9">
        <v>0</v>
      </c>
      <c r="M9">
        <v>0</v>
      </c>
      <c r="N9">
        <v>0</v>
      </c>
      <c r="P9">
        <v>0</v>
      </c>
      <c r="Q9">
        <v>0.53</v>
      </c>
      <c r="R9">
        <v>0.47</v>
      </c>
      <c r="S9">
        <v>0</v>
      </c>
      <c r="T9">
        <v>0</v>
      </c>
      <c r="U9">
        <v>0</v>
      </c>
      <c r="W9">
        <v>0</v>
      </c>
      <c r="X9">
        <v>1</v>
      </c>
      <c r="Y9">
        <v>0</v>
      </c>
      <c r="Z9">
        <v>0</v>
      </c>
      <c r="AA9">
        <v>0</v>
      </c>
      <c r="AB9">
        <v>0</v>
      </c>
      <c r="AD9">
        <v>0.03</v>
      </c>
      <c r="AE9">
        <v>0.96</v>
      </c>
      <c r="AF9">
        <v>0</v>
      </c>
      <c r="AG9">
        <v>0</v>
      </c>
      <c r="AH9">
        <v>0</v>
      </c>
      <c r="AI9">
        <v>0</v>
      </c>
      <c r="AK9">
        <v>0</v>
      </c>
      <c r="AL9">
        <v>0.25</v>
      </c>
      <c r="AM9">
        <v>0.74</v>
      </c>
      <c r="AN9">
        <v>0</v>
      </c>
      <c r="AO9">
        <v>0</v>
      </c>
      <c r="AP9">
        <v>0</v>
      </c>
    </row>
    <row r="10" spans="1:42" x14ac:dyDescent="0.25">
      <c r="A10" t="s">
        <v>5</v>
      </c>
      <c r="B10" s="1">
        <f t="shared" si="1"/>
        <v>0.01</v>
      </c>
      <c r="C10" s="1">
        <f t="shared" si="6"/>
        <v>0.64399999999999991</v>
      </c>
      <c r="D10" s="1">
        <f t="shared" si="2"/>
        <v>0.32999999999999996</v>
      </c>
      <c r="E10" s="1">
        <f t="shared" si="3"/>
        <v>0</v>
      </c>
      <c r="F10" s="1">
        <f t="shared" si="4"/>
        <v>0</v>
      </c>
      <c r="G10" s="6">
        <f>AVERAGE(N10,U10,AB10,AI10,AP10)</f>
        <v>1.4000000000000002E-2</v>
      </c>
      <c r="I10">
        <v>0</v>
      </c>
      <c r="J10">
        <v>0.51</v>
      </c>
      <c r="K10">
        <v>0.48</v>
      </c>
      <c r="L10">
        <v>0</v>
      </c>
      <c r="M10">
        <v>0</v>
      </c>
      <c r="N10">
        <v>0</v>
      </c>
      <c r="P10">
        <v>0</v>
      </c>
      <c r="Q10">
        <v>0.7</v>
      </c>
      <c r="R10">
        <v>0.3</v>
      </c>
      <c r="S10">
        <v>0</v>
      </c>
      <c r="T10">
        <v>0</v>
      </c>
      <c r="U10">
        <v>0</v>
      </c>
      <c r="W10">
        <v>0</v>
      </c>
      <c r="X10">
        <v>1</v>
      </c>
      <c r="Y10">
        <v>0</v>
      </c>
      <c r="Z10">
        <v>0</v>
      </c>
      <c r="AA10">
        <v>0</v>
      </c>
      <c r="AB10">
        <v>0</v>
      </c>
      <c r="AD10">
        <v>0.05</v>
      </c>
      <c r="AE10">
        <v>0.86</v>
      </c>
      <c r="AF10">
        <v>0.02</v>
      </c>
      <c r="AG10">
        <v>0</v>
      </c>
      <c r="AH10">
        <v>0</v>
      </c>
      <c r="AI10">
        <v>7.0000000000000007E-2</v>
      </c>
      <c r="AK10">
        <v>0</v>
      </c>
      <c r="AL10">
        <v>0.15</v>
      </c>
      <c r="AM10">
        <v>0.85</v>
      </c>
      <c r="AN10">
        <v>0</v>
      </c>
      <c r="AO10">
        <v>0</v>
      </c>
      <c r="AP10">
        <v>0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6">
        <f>AVERAGE(I12,P12,W12,AD12,AK12)</f>
        <v>0.22999999999999998</v>
      </c>
      <c r="C12" s="1"/>
      <c r="D12" s="1"/>
      <c r="E12" s="1"/>
      <c r="F12" s="1"/>
      <c r="G12" s="1"/>
      <c r="I12">
        <v>0.21</v>
      </c>
      <c r="P12">
        <v>0.24</v>
      </c>
      <c r="W12">
        <v>0.17</v>
      </c>
      <c r="AD12">
        <v>0.32</v>
      </c>
      <c r="AK12">
        <v>0.21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6">
        <f>AVERAGE(I16,P16,W16,AD16,AK16)</f>
        <v>0.14399999999999999</v>
      </c>
      <c r="C16" s="1">
        <f t="shared" ref="C16:C21" si="7">AVERAGE(J16,Q16,X16,AE16,AL16)</f>
        <v>0.52800000000000002</v>
      </c>
      <c r="D16" s="1">
        <f t="shared" ref="D16:D21" si="8">AVERAGE(K16,R16,Y16,AF16,AM16)</f>
        <v>0.32999999999999996</v>
      </c>
      <c r="E16" s="1">
        <f t="shared" ref="E16:E21" si="9">AVERAGE(L16,S16,Z16,AG16,AN16)</f>
        <v>0</v>
      </c>
      <c r="F16" s="1">
        <f t="shared" ref="F16:F21" si="10">AVERAGE(M16,T16,AA16,AH16,AO16)</f>
        <v>0</v>
      </c>
      <c r="G16" s="1">
        <f t="shared" ref="G16:G20" si="11">AVERAGE(N16,U16,AB16,AI16,AP16)</f>
        <v>0</v>
      </c>
      <c r="I16">
        <v>0.13</v>
      </c>
      <c r="J16">
        <v>0.32</v>
      </c>
      <c r="K16">
        <v>0.56000000000000005</v>
      </c>
      <c r="L16">
        <v>0</v>
      </c>
      <c r="M16">
        <v>0</v>
      </c>
      <c r="N16">
        <v>0</v>
      </c>
      <c r="P16">
        <v>0.09</v>
      </c>
      <c r="Q16">
        <v>0.66</v>
      </c>
      <c r="R16">
        <v>0.25</v>
      </c>
      <c r="S16">
        <v>0</v>
      </c>
      <c r="T16">
        <v>0</v>
      </c>
      <c r="U16">
        <v>0</v>
      </c>
      <c r="W16">
        <v>0</v>
      </c>
      <c r="X16">
        <v>1</v>
      </c>
      <c r="Y16">
        <v>0</v>
      </c>
      <c r="Z16">
        <v>0</v>
      </c>
      <c r="AA16">
        <v>0</v>
      </c>
      <c r="AB16">
        <v>0</v>
      </c>
      <c r="AD16">
        <v>0.44</v>
      </c>
      <c r="AE16">
        <v>0.56000000000000005</v>
      </c>
      <c r="AF16">
        <v>0</v>
      </c>
      <c r="AG16">
        <v>0</v>
      </c>
      <c r="AH16">
        <v>0</v>
      </c>
      <c r="AI16">
        <v>0</v>
      </c>
      <c r="AK16">
        <v>0.06</v>
      </c>
      <c r="AL16">
        <v>0.1</v>
      </c>
      <c r="AM16">
        <v>0.84</v>
      </c>
      <c r="AN16">
        <v>0</v>
      </c>
      <c r="AO16">
        <v>0</v>
      </c>
      <c r="AP16">
        <v>0</v>
      </c>
    </row>
    <row r="17" spans="1:42" x14ac:dyDescent="0.25">
      <c r="A17" t="s">
        <v>2</v>
      </c>
      <c r="B17" s="1">
        <f t="shared" ref="B17:B21" si="12">AVERAGE(I17,P17,W17,AD17,AK17)</f>
        <v>0</v>
      </c>
      <c r="C17" s="6">
        <f>AVERAGE(J17,Q17,X17,AE17,AL17)</f>
        <v>0.70200000000000007</v>
      </c>
      <c r="D17" s="1">
        <f t="shared" si="8"/>
        <v>0.29799999999999999</v>
      </c>
      <c r="E17" s="1">
        <f t="shared" si="9"/>
        <v>0</v>
      </c>
      <c r="F17" s="1">
        <f t="shared" si="10"/>
        <v>0</v>
      </c>
      <c r="G17" s="1">
        <f t="shared" si="11"/>
        <v>0</v>
      </c>
      <c r="I17">
        <v>0</v>
      </c>
      <c r="J17">
        <v>0.59</v>
      </c>
      <c r="K17">
        <v>0.41</v>
      </c>
      <c r="L17">
        <v>0</v>
      </c>
      <c r="M17">
        <v>0</v>
      </c>
      <c r="N17">
        <v>0</v>
      </c>
      <c r="P17">
        <v>0</v>
      </c>
      <c r="Q17">
        <v>0.4</v>
      </c>
      <c r="R17">
        <v>0.6</v>
      </c>
      <c r="S17">
        <v>0</v>
      </c>
      <c r="T17">
        <v>0</v>
      </c>
      <c r="U17">
        <v>0</v>
      </c>
      <c r="W17">
        <v>0</v>
      </c>
      <c r="X17">
        <v>1</v>
      </c>
      <c r="Y17">
        <v>0</v>
      </c>
      <c r="Z17">
        <v>0</v>
      </c>
      <c r="AA17">
        <v>0</v>
      </c>
      <c r="AB17">
        <v>0</v>
      </c>
      <c r="AD17">
        <v>0</v>
      </c>
      <c r="AE17">
        <v>1</v>
      </c>
      <c r="AF17">
        <v>0</v>
      </c>
      <c r="AG17">
        <v>0</v>
      </c>
      <c r="AH17">
        <v>0</v>
      </c>
      <c r="AI17">
        <v>0</v>
      </c>
      <c r="AK17">
        <v>0</v>
      </c>
      <c r="AL17">
        <v>0.52</v>
      </c>
      <c r="AM17">
        <v>0.48</v>
      </c>
      <c r="AN17">
        <v>0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0</v>
      </c>
      <c r="C18" s="1">
        <f t="shared" si="7"/>
        <v>0.51800000000000002</v>
      </c>
      <c r="D18" s="6">
        <f>AVERAGE(K18,R18,Y18,AF18,AM18)</f>
        <v>0.48200000000000004</v>
      </c>
      <c r="E18" s="1">
        <f t="shared" si="9"/>
        <v>0</v>
      </c>
      <c r="F18" s="1">
        <f t="shared" si="10"/>
        <v>0</v>
      </c>
      <c r="G18" s="1">
        <f t="shared" si="11"/>
        <v>0</v>
      </c>
      <c r="I18">
        <v>0</v>
      </c>
      <c r="J18">
        <v>0.23</v>
      </c>
      <c r="K18">
        <v>0.77</v>
      </c>
      <c r="L18">
        <v>0</v>
      </c>
      <c r="M18">
        <v>0</v>
      </c>
      <c r="N18">
        <v>0</v>
      </c>
      <c r="P18">
        <v>0</v>
      </c>
      <c r="Q18">
        <v>0.31</v>
      </c>
      <c r="R18">
        <v>0.69</v>
      </c>
      <c r="S18">
        <v>0</v>
      </c>
      <c r="T18">
        <v>0</v>
      </c>
      <c r="U18">
        <v>0</v>
      </c>
      <c r="W18">
        <v>0</v>
      </c>
      <c r="X18">
        <v>1</v>
      </c>
      <c r="Y18">
        <v>0</v>
      </c>
      <c r="Z18">
        <v>0</v>
      </c>
      <c r="AA18">
        <v>0</v>
      </c>
      <c r="AB18">
        <v>0</v>
      </c>
      <c r="AD18">
        <v>0</v>
      </c>
      <c r="AE18">
        <v>0.83</v>
      </c>
      <c r="AF18">
        <v>0.17</v>
      </c>
      <c r="AG18">
        <v>0</v>
      </c>
      <c r="AH18">
        <v>0</v>
      </c>
      <c r="AI18">
        <v>0</v>
      </c>
      <c r="AK18">
        <v>0</v>
      </c>
      <c r="AL18">
        <v>0.22</v>
      </c>
      <c r="AM18">
        <v>0.78</v>
      </c>
      <c r="AN18">
        <v>0</v>
      </c>
      <c r="AO18">
        <v>0</v>
      </c>
      <c r="AP18">
        <v>0</v>
      </c>
    </row>
    <row r="19" spans="1:42" x14ac:dyDescent="0.25">
      <c r="A19" t="s">
        <v>3</v>
      </c>
      <c r="B19" s="1">
        <f t="shared" si="12"/>
        <v>4.0000000000000001E-3</v>
      </c>
      <c r="C19" s="1">
        <f t="shared" si="7"/>
        <v>0.72600000000000009</v>
      </c>
      <c r="D19" s="1">
        <f t="shared" si="8"/>
        <v>0.25600000000000001</v>
      </c>
      <c r="E19" s="6">
        <f>AVERAGE(L19,S19,Z19,AG19,AN19)</f>
        <v>0.01</v>
      </c>
      <c r="F19" s="1">
        <f t="shared" si="10"/>
        <v>0</v>
      </c>
      <c r="G19" s="1">
        <f t="shared" si="11"/>
        <v>0</v>
      </c>
      <c r="I19">
        <v>0</v>
      </c>
      <c r="J19">
        <v>0.67</v>
      </c>
      <c r="K19">
        <v>0.31</v>
      </c>
      <c r="L19">
        <v>0.01</v>
      </c>
      <c r="M19">
        <v>0</v>
      </c>
      <c r="N19">
        <v>0</v>
      </c>
      <c r="P19">
        <v>0</v>
      </c>
      <c r="Q19">
        <v>0.78</v>
      </c>
      <c r="R19">
        <v>0.21</v>
      </c>
      <c r="S19">
        <v>0</v>
      </c>
      <c r="T19">
        <v>0</v>
      </c>
      <c r="U19">
        <v>0</v>
      </c>
      <c r="W19">
        <v>0</v>
      </c>
      <c r="X19">
        <v>1</v>
      </c>
      <c r="Y19">
        <v>0</v>
      </c>
      <c r="Z19">
        <v>0</v>
      </c>
      <c r="AA19">
        <v>0</v>
      </c>
      <c r="AB19">
        <v>0</v>
      </c>
      <c r="AD19">
        <v>0.02</v>
      </c>
      <c r="AE19">
        <v>0.93</v>
      </c>
      <c r="AF19">
        <v>0.01</v>
      </c>
      <c r="AG19">
        <v>0.04</v>
      </c>
      <c r="AH19">
        <v>0</v>
      </c>
      <c r="AI19">
        <v>0</v>
      </c>
      <c r="AK19">
        <v>0</v>
      </c>
      <c r="AL19">
        <v>0.25</v>
      </c>
      <c r="AM19">
        <v>0.75</v>
      </c>
      <c r="AN19">
        <v>0</v>
      </c>
      <c r="AO19">
        <v>0</v>
      </c>
      <c r="AP19">
        <v>0</v>
      </c>
    </row>
    <row r="20" spans="1:42" x14ac:dyDescent="0.25">
      <c r="A20" t="s">
        <v>4</v>
      </c>
      <c r="B20" s="1">
        <f t="shared" si="12"/>
        <v>1.4000000000000002E-2</v>
      </c>
      <c r="C20" s="1">
        <f t="shared" si="7"/>
        <v>0.63400000000000001</v>
      </c>
      <c r="D20" s="1">
        <f t="shared" si="8"/>
        <v>0.35</v>
      </c>
      <c r="E20" s="1">
        <f t="shared" si="9"/>
        <v>0</v>
      </c>
      <c r="F20" s="6">
        <f>AVERAGE(M20,T20,AA20,AH20,AO20)</f>
        <v>0</v>
      </c>
      <c r="G20" s="1">
        <f t="shared" si="11"/>
        <v>2E-3</v>
      </c>
      <c r="I20">
        <v>0.01</v>
      </c>
      <c r="J20">
        <v>0.44</v>
      </c>
      <c r="K20">
        <v>0.55000000000000004</v>
      </c>
      <c r="L20">
        <v>0</v>
      </c>
      <c r="M20">
        <v>0</v>
      </c>
      <c r="N20">
        <v>0</v>
      </c>
      <c r="P20">
        <v>0.01</v>
      </c>
      <c r="Q20">
        <v>0.54</v>
      </c>
      <c r="R20">
        <v>0.45</v>
      </c>
      <c r="S20">
        <v>0</v>
      </c>
      <c r="T20">
        <v>0</v>
      </c>
      <c r="U20">
        <v>0</v>
      </c>
      <c r="W20">
        <v>0</v>
      </c>
      <c r="X20">
        <v>1</v>
      </c>
      <c r="Y20">
        <v>0</v>
      </c>
      <c r="Z20">
        <v>0</v>
      </c>
      <c r="AA20">
        <v>0</v>
      </c>
      <c r="AB20">
        <v>0</v>
      </c>
      <c r="AD20">
        <v>0.05</v>
      </c>
      <c r="AE20">
        <v>0.93</v>
      </c>
      <c r="AF20">
        <v>0.01</v>
      </c>
      <c r="AG20">
        <v>0</v>
      </c>
      <c r="AH20">
        <v>0</v>
      </c>
      <c r="AI20">
        <v>0.01</v>
      </c>
      <c r="AK20">
        <v>0</v>
      </c>
      <c r="AL20">
        <v>0.26</v>
      </c>
      <c r="AM20">
        <v>0.74</v>
      </c>
      <c r="AN20">
        <v>0</v>
      </c>
      <c r="AO20">
        <v>0</v>
      </c>
      <c r="AP20">
        <v>0</v>
      </c>
    </row>
    <row r="21" spans="1:42" x14ac:dyDescent="0.25">
      <c r="A21" t="s">
        <v>5</v>
      </c>
      <c r="B21" s="1">
        <f t="shared" si="12"/>
        <v>1.3999999999999999E-2</v>
      </c>
      <c r="C21" s="1">
        <f t="shared" si="7"/>
        <v>0.64400000000000002</v>
      </c>
      <c r="D21" s="1">
        <f t="shared" si="8"/>
        <v>0.33200000000000002</v>
      </c>
      <c r="E21" s="1">
        <f t="shared" si="9"/>
        <v>0</v>
      </c>
      <c r="F21" s="1">
        <f t="shared" si="10"/>
        <v>0</v>
      </c>
      <c r="G21" s="6">
        <f>AVERAGE(N21,U21,AB21,AI21,AP21)</f>
        <v>8.0000000000000002E-3</v>
      </c>
      <c r="I21">
        <v>0</v>
      </c>
      <c r="J21">
        <v>0.45</v>
      </c>
      <c r="K21">
        <v>0.55000000000000004</v>
      </c>
      <c r="L21">
        <v>0</v>
      </c>
      <c r="M21">
        <v>0</v>
      </c>
      <c r="N21">
        <v>0</v>
      </c>
      <c r="P21">
        <v>0.01</v>
      </c>
      <c r="Q21">
        <v>0.66</v>
      </c>
      <c r="R21">
        <v>0.31</v>
      </c>
      <c r="S21">
        <v>0</v>
      </c>
      <c r="T21">
        <v>0</v>
      </c>
      <c r="U21">
        <v>0.01</v>
      </c>
      <c r="W21">
        <v>0</v>
      </c>
      <c r="X21">
        <v>1</v>
      </c>
      <c r="Y21">
        <v>0</v>
      </c>
      <c r="Z21">
        <v>0</v>
      </c>
      <c r="AA21">
        <v>0</v>
      </c>
      <c r="AB21">
        <v>0</v>
      </c>
      <c r="AD21">
        <v>0.06</v>
      </c>
      <c r="AE21">
        <v>0.9</v>
      </c>
      <c r="AF21">
        <v>0.01</v>
      </c>
      <c r="AG21">
        <v>0</v>
      </c>
      <c r="AH21">
        <v>0</v>
      </c>
      <c r="AI21">
        <v>0.03</v>
      </c>
      <c r="AK21">
        <v>0</v>
      </c>
      <c r="AL21">
        <v>0.21</v>
      </c>
      <c r="AM21">
        <v>0.79</v>
      </c>
      <c r="AN21">
        <v>0</v>
      </c>
      <c r="AO21">
        <v>0</v>
      </c>
      <c r="AP21">
        <v>0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6">
        <f>AVERAGE(I23,P23,W23,AD23,AK23)</f>
        <v>0.22600000000000003</v>
      </c>
      <c r="C23" s="1"/>
      <c r="D23" s="1"/>
      <c r="E23" s="1"/>
      <c r="F23" s="1"/>
      <c r="G23" s="1"/>
      <c r="I23">
        <v>0.25</v>
      </c>
      <c r="P23">
        <v>0.2</v>
      </c>
      <c r="W23">
        <v>0.17</v>
      </c>
      <c r="AD23">
        <v>0.28000000000000003</v>
      </c>
      <c r="AK23">
        <v>0.23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B0237-C7A8-4F30-9719-957C98433631}">
  <sheetPr codeName="Arkusz3"/>
  <dimension ref="A4:AP23"/>
  <sheetViews>
    <sheetView topLeftCell="A4" workbookViewId="0">
      <selection activeCell="D21" sqref="D21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6">
        <f>AVERAGE(I5,P5,W5,AD5,AK5)</f>
        <v>0.70399999999999996</v>
      </c>
      <c r="C5" s="1">
        <f t="shared" ref="C5:G5" si="0">AVERAGE(J5,Q5,X5,AE5,AL5)</f>
        <v>9.1999999999999998E-2</v>
      </c>
      <c r="D5" s="1">
        <f t="shared" si="0"/>
        <v>0.16400000000000001</v>
      </c>
      <c r="E5" s="1">
        <f t="shared" si="0"/>
        <v>0.01</v>
      </c>
      <c r="F5" s="1">
        <f t="shared" si="0"/>
        <v>2E-3</v>
      </c>
      <c r="G5" s="1">
        <f t="shared" si="0"/>
        <v>3.0000000000000006E-2</v>
      </c>
      <c r="I5">
        <v>0.79</v>
      </c>
      <c r="J5">
        <v>0.14000000000000001</v>
      </c>
      <c r="K5">
        <v>0.05</v>
      </c>
      <c r="L5">
        <v>0.01</v>
      </c>
      <c r="M5">
        <v>0</v>
      </c>
      <c r="N5">
        <v>0.03</v>
      </c>
      <c r="P5">
        <v>0.57999999999999996</v>
      </c>
      <c r="Q5">
        <v>0</v>
      </c>
      <c r="R5">
        <v>0.4</v>
      </c>
      <c r="S5">
        <v>0</v>
      </c>
      <c r="T5">
        <v>0</v>
      </c>
      <c r="U5">
        <v>0.02</v>
      </c>
      <c r="W5">
        <v>0.77</v>
      </c>
      <c r="X5">
        <v>0.14000000000000001</v>
      </c>
      <c r="Y5">
        <v>0.03</v>
      </c>
      <c r="Z5">
        <v>0.01</v>
      </c>
      <c r="AA5">
        <v>0</v>
      </c>
      <c r="AB5">
        <v>0.05</v>
      </c>
      <c r="AD5">
        <v>0.78</v>
      </c>
      <c r="AE5">
        <v>0.12</v>
      </c>
      <c r="AF5">
        <v>0.01</v>
      </c>
      <c r="AG5">
        <v>0.03</v>
      </c>
      <c r="AH5">
        <v>0.01</v>
      </c>
      <c r="AI5">
        <v>0.04</v>
      </c>
      <c r="AK5">
        <v>0.6</v>
      </c>
      <c r="AL5">
        <v>0.06</v>
      </c>
      <c r="AM5">
        <v>0.33</v>
      </c>
      <c r="AN5">
        <v>0</v>
      </c>
      <c r="AO5">
        <v>0</v>
      </c>
      <c r="AP5">
        <v>0.01</v>
      </c>
    </row>
    <row r="6" spans="1:42" x14ac:dyDescent="0.25">
      <c r="A6" t="s">
        <v>2</v>
      </c>
      <c r="B6" s="1">
        <f t="shared" ref="B6:B10" si="1">AVERAGE(I6,P6,W6,AD6,AK6)</f>
        <v>0</v>
      </c>
      <c r="C6" s="6">
        <f>AVERAGE(J6,Q6,X6,AE6,AL6)</f>
        <v>0.96</v>
      </c>
      <c r="D6" s="1">
        <f t="shared" ref="D6:D10" si="2">AVERAGE(K6,R6,Y6,AF6,AM6)</f>
        <v>0.04</v>
      </c>
      <c r="E6" s="1">
        <f t="shared" ref="E6:E10" si="3">AVERAGE(L6,S6,Z6,AG6,AN6)</f>
        <v>0</v>
      </c>
      <c r="F6" s="1">
        <f t="shared" ref="F6:F10" si="4">AVERAGE(M6,T6,AA6,AH6,AO6)</f>
        <v>0</v>
      </c>
      <c r="G6" s="1">
        <f t="shared" ref="G6:G9" si="5">AVERAGE(N6,U6,AB6,AI6,AP6)</f>
        <v>0</v>
      </c>
      <c r="I6">
        <v>0</v>
      </c>
      <c r="J6">
        <v>0.95</v>
      </c>
      <c r="K6">
        <v>0.05</v>
      </c>
      <c r="L6">
        <v>0</v>
      </c>
      <c r="M6">
        <v>0</v>
      </c>
      <c r="N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0.85</v>
      </c>
      <c r="AM6">
        <v>0.15</v>
      </c>
      <c r="AN6">
        <v>0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0</v>
      </c>
      <c r="C7" s="1">
        <f t="shared" ref="C7:C10" si="6">AVERAGE(J7,Q7,X7,AE7,AL7)</f>
        <v>9.1999999999999998E-2</v>
      </c>
      <c r="D7" s="6">
        <f>AVERAGE(K7,R7,Y7,AF7,AM7)</f>
        <v>0.90599999999999992</v>
      </c>
      <c r="E7" s="1">
        <f t="shared" si="3"/>
        <v>0</v>
      </c>
      <c r="F7" s="1">
        <f t="shared" si="4"/>
        <v>2E-3</v>
      </c>
      <c r="G7" s="1">
        <f t="shared" si="5"/>
        <v>0</v>
      </c>
      <c r="I7">
        <v>0</v>
      </c>
      <c r="J7">
        <v>0.08</v>
      </c>
      <c r="K7">
        <v>0.92</v>
      </c>
      <c r="L7">
        <v>0</v>
      </c>
      <c r="M7">
        <v>0</v>
      </c>
      <c r="N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W7">
        <v>0</v>
      </c>
      <c r="X7">
        <v>0.16</v>
      </c>
      <c r="Y7">
        <v>0.84</v>
      </c>
      <c r="Z7">
        <v>0</v>
      </c>
      <c r="AA7">
        <v>0</v>
      </c>
      <c r="AB7">
        <v>0</v>
      </c>
      <c r="AD7">
        <v>0</v>
      </c>
      <c r="AE7">
        <v>0.22</v>
      </c>
      <c r="AF7">
        <v>0.77</v>
      </c>
      <c r="AG7">
        <v>0</v>
      </c>
      <c r="AH7">
        <v>0.01</v>
      </c>
      <c r="AI7">
        <v>0</v>
      </c>
      <c r="AK7">
        <v>0</v>
      </c>
      <c r="AL7">
        <v>0</v>
      </c>
      <c r="AM7">
        <v>1</v>
      </c>
      <c r="AN7">
        <v>0</v>
      </c>
      <c r="AO7">
        <v>0</v>
      </c>
      <c r="AP7">
        <v>0</v>
      </c>
    </row>
    <row r="8" spans="1:42" x14ac:dyDescent="0.25">
      <c r="A8" t="s">
        <v>3</v>
      </c>
      <c r="B8" s="1">
        <f t="shared" si="1"/>
        <v>1.3999999999999999E-2</v>
      </c>
      <c r="C8" s="1">
        <f t="shared" si="6"/>
        <v>0.21800000000000003</v>
      </c>
      <c r="D8" s="1">
        <f t="shared" si="2"/>
        <v>0.25800000000000001</v>
      </c>
      <c r="E8" s="6">
        <f>AVERAGE(L8,S8,Z8,AG8,AN8)</f>
        <v>0.48399999999999999</v>
      </c>
      <c r="F8" s="1">
        <f t="shared" si="4"/>
        <v>6.0000000000000001E-3</v>
      </c>
      <c r="G8" s="1">
        <f t="shared" si="5"/>
        <v>1.9999999999999997E-2</v>
      </c>
      <c r="I8">
        <v>0.02</v>
      </c>
      <c r="J8">
        <v>0.37</v>
      </c>
      <c r="K8">
        <v>0.1</v>
      </c>
      <c r="L8">
        <v>0.48</v>
      </c>
      <c r="M8">
        <v>0.01</v>
      </c>
      <c r="N8">
        <v>0.03</v>
      </c>
      <c r="P8">
        <v>0</v>
      </c>
      <c r="Q8">
        <v>0.01</v>
      </c>
      <c r="R8">
        <v>0.61</v>
      </c>
      <c r="S8">
        <v>0.37</v>
      </c>
      <c r="T8">
        <v>0</v>
      </c>
      <c r="U8">
        <v>0.01</v>
      </c>
      <c r="W8">
        <v>0.02</v>
      </c>
      <c r="X8">
        <v>0.32</v>
      </c>
      <c r="Y8">
        <v>0.06</v>
      </c>
      <c r="Z8">
        <v>0.57999999999999996</v>
      </c>
      <c r="AA8">
        <v>0</v>
      </c>
      <c r="AB8">
        <v>0.02</v>
      </c>
      <c r="AD8">
        <v>0.02</v>
      </c>
      <c r="AE8">
        <v>0.28999999999999998</v>
      </c>
      <c r="AF8">
        <v>0.03</v>
      </c>
      <c r="AG8">
        <v>0.6</v>
      </c>
      <c r="AH8">
        <v>0.02</v>
      </c>
      <c r="AI8">
        <v>0.03</v>
      </c>
      <c r="AK8">
        <v>0.01</v>
      </c>
      <c r="AL8">
        <v>0.1</v>
      </c>
      <c r="AM8">
        <v>0.49</v>
      </c>
      <c r="AN8">
        <v>0.39</v>
      </c>
      <c r="AO8">
        <v>0</v>
      </c>
      <c r="AP8">
        <v>0.01</v>
      </c>
    </row>
    <row r="9" spans="1:42" x14ac:dyDescent="0.25">
      <c r="A9" t="s">
        <v>4</v>
      </c>
      <c r="B9" s="1">
        <f t="shared" si="1"/>
        <v>6.4000000000000001E-2</v>
      </c>
      <c r="C9" s="1">
        <f t="shared" si="6"/>
        <v>0.32400000000000001</v>
      </c>
      <c r="D9" s="1">
        <f t="shared" si="2"/>
        <v>0.376</v>
      </c>
      <c r="E9" s="1">
        <f t="shared" si="3"/>
        <v>5.2000000000000005E-2</v>
      </c>
      <c r="F9" s="6">
        <f>AVERAGE(M9,T9,AA9,AH9,AO9)</f>
        <v>7.5999999999999998E-2</v>
      </c>
      <c r="G9" s="1">
        <f t="shared" si="5"/>
        <v>0.10400000000000001</v>
      </c>
      <c r="I9">
        <v>0.05</v>
      </c>
      <c r="J9">
        <v>0.56000000000000005</v>
      </c>
      <c r="K9">
        <v>0.13</v>
      </c>
      <c r="L9">
        <v>0.06</v>
      </c>
      <c r="M9">
        <v>7.0000000000000007E-2</v>
      </c>
      <c r="N9">
        <v>0.13</v>
      </c>
      <c r="P9">
        <v>0.03</v>
      </c>
      <c r="Q9">
        <v>0.01</v>
      </c>
      <c r="R9">
        <v>0.86</v>
      </c>
      <c r="S9">
        <v>0.03</v>
      </c>
      <c r="T9">
        <v>0</v>
      </c>
      <c r="U9">
        <v>0.06</v>
      </c>
      <c r="W9">
        <v>0.1</v>
      </c>
      <c r="X9">
        <v>0.52</v>
      </c>
      <c r="Y9">
        <v>0.13</v>
      </c>
      <c r="Z9">
        <v>0.06</v>
      </c>
      <c r="AA9">
        <v>0.06</v>
      </c>
      <c r="AB9">
        <v>0.13</v>
      </c>
      <c r="AD9">
        <v>0.09</v>
      </c>
      <c r="AE9">
        <v>0.41</v>
      </c>
      <c r="AF9">
        <v>0.05</v>
      </c>
      <c r="AG9">
        <v>0.08</v>
      </c>
      <c r="AH9">
        <v>0.24</v>
      </c>
      <c r="AI9">
        <v>0.12</v>
      </c>
      <c r="AK9">
        <v>0.05</v>
      </c>
      <c r="AL9">
        <v>0.12</v>
      </c>
      <c r="AM9">
        <v>0.71</v>
      </c>
      <c r="AN9">
        <v>0.03</v>
      </c>
      <c r="AO9">
        <v>0.01</v>
      </c>
      <c r="AP9">
        <v>0.08</v>
      </c>
    </row>
    <row r="10" spans="1:42" x14ac:dyDescent="0.25">
      <c r="A10" t="s">
        <v>5</v>
      </c>
      <c r="B10" s="1">
        <f t="shared" si="1"/>
        <v>2.8000000000000004E-2</v>
      </c>
      <c r="C10" s="1">
        <f t="shared" si="6"/>
        <v>0.13400000000000004</v>
      </c>
      <c r="D10" s="1">
        <f t="shared" si="2"/>
        <v>0.21400000000000002</v>
      </c>
      <c r="E10" s="1">
        <f t="shared" si="3"/>
        <v>8.0000000000000002E-3</v>
      </c>
      <c r="F10" s="1">
        <f t="shared" si="4"/>
        <v>6.0000000000000001E-3</v>
      </c>
      <c r="G10" s="6">
        <f>AVERAGE(N10,U10,AB10,AI10,AP10)</f>
        <v>0.6100000000000001</v>
      </c>
      <c r="I10">
        <v>0.03</v>
      </c>
      <c r="J10">
        <v>0.22</v>
      </c>
      <c r="K10">
        <v>0.06</v>
      </c>
      <c r="L10">
        <v>0</v>
      </c>
      <c r="M10">
        <v>0</v>
      </c>
      <c r="N10">
        <v>0.68</v>
      </c>
      <c r="P10">
        <v>0</v>
      </c>
      <c r="Q10">
        <v>0</v>
      </c>
      <c r="R10">
        <v>0.5</v>
      </c>
      <c r="S10">
        <v>0</v>
      </c>
      <c r="T10">
        <v>0</v>
      </c>
      <c r="U10">
        <v>0.5</v>
      </c>
      <c r="W10">
        <v>0.06</v>
      </c>
      <c r="X10">
        <v>0.2</v>
      </c>
      <c r="Y10">
        <v>0.05</v>
      </c>
      <c r="Z10">
        <v>0.01</v>
      </c>
      <c r="AA10">
        <v>0.01</v>
      </c>
      <c r="AB10">
        <v>0.68</v>
      </c>
      <c r="AD10">
        <v>0.04</v>
      </c>
      <c r="AE10">
        <v>0.18</v>
      </c>
      <c r="AF10">
        <v>0.03</v>
      </c>
      <c r="AG10">
        <v>0.02</v>
      </c>
      <c r="AH10">
        <v>0.02</v>
      </c>
      <c r="AI10">
        <v>0.71</v>
      </c>
      <c r="AK10">
        <v>0.01</v>
      </c>
      <c r="AL10">
        <v>7.0000000000000007E-2</v>
      </c>
      <c r="AM10">
        <v>0.43</v>
      </c>
      <c r="AN10">
        <v>0.01</v>
      </c>
      <c r="AO10">
        <v>0</v>
      </c>
      <c r="AP10">
        <v>0.48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6">
        <f>AVERAGE(I12,P12,W12,AD12,AK12)</f>
        <v>0.62200000000000011</v>
      </c>
      <c r="C12" s="1"/>
      <c r="D12" s="1"/>
      <c r="E12" s="1"/>
      <c r="F12" s="1"/>
      <c r="G12" s="1"/>
      <c r="I12">
        <v>0.65</v>
      </c>
      <c r="P12">
        <v>0.56999999999999995</v>
      </c>
      <c r="W12">
        <v>0.65</v>
      </c>
      <c r="AD12">
        <v>0.68</v>
      </c>
      <c r="AK12">
        <v>0.56000000000000005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6">
        <f>AVERAGE(I16,P16,W16,AD16,AK16)</f>
        <v>0.51200000000000001</v>
      </c>
      <c r="C16" s="1">
        <f t="shared" ref="C16:C21" si="7">AVERAGE(J16,Q16,X16,AE16,AL16)</f>
        <v>0.12000000000000002</v>
      </c>
      <c r="D16" s="1">
        <f t="shared" ref="D16:D21" si="8">AVERAGE(K16,R16,Y16,AF16,AM16)</f>
        <v>0.24399999999999999</v>
      </c>
      <c r="E16" s="1">
        <f t="shared" ref="E16:E21" si="9">AVERAGE(L16,S16,Z16,AG16,AN16)</f>
        <v>3.0000000000000006E-2</v>
      </c>
      <c r="F16" s="1">
        <f t="shared" ref="F16:F21" si="10">AVERAGE(M16,T16,AA16,AH16,AO16)</f>
        <v>1.4000000000000002E-2</v>
      </c>
      <c r="G16" s="1">
        <f t="shared" ref="G16:G20" si="11">AVERAGE(N16,U16,AB16,AI16,AP16)</f>
        <v>7.7999999999999986E-2</v>
      </c>
      <c r="I16">
        <v>0.56000000000000005</v>
      </c>
      <c r="J16">
        <v>0.22</v>
      </c>
      <c r="K16">
        <v>0.11</v>
      </c>
      <c r="L16">
        <v>0.03</v>
      </c>
      <c r="M16">
        <v>0</v>
      </c>
      <c r="N16">
        <v>0.08</v>
      </c>
      <c r="P16">
        <v>0.4</v>
      </c>
      <c r="Q16">
        <v>0</v>
      </c>
      <c r="R16">
        <v>0.51</v>
      </c>
      <c r="S16">
        <v>0</v>
      </c>
      <c r="T16">
        <v>0</v>
      </c>
      <c r="U16">
        <v>0.09</v>
      </c>
      <c r="W16">
        <v>0.6</v>
      </c>
      <c r="X16">
        <v>0.22</v>
      </c>
      <c r="Y16">
        <v>7.0000000000000007E-2</v>
      </c>
      <c r="Z16">
        <v>0.04</v>
      </c>
      <c r="AA16">
        <v>0</v>
      </c>
      <c r="AB16">
        <v>7.0000000000000007E-2</v>
      </c>
      <c r="AD16">
        <v>0.61</v>
      </c>
      <c r="AE16">
        <v>0.09</v>
      </c>
      <c r="AF16">
        <v>0.05</v>
      </c>
      <c r="AG16">
        <v>0.08</v>
      </c>
      <c r="AH16">
        <v>7.0000000000000007E-2</v>
      </c>
      <c r="AI16">
        <v>0.09</v>
      </c>
      <c r="AK16">
        <v>0.39</v>
      </c>
      <c r="AL16">
        <v>7.0000000000000007E-2</v>
      </c>
      <c r="AM16">
        <v>0.48</v>
      </c>
      <c r="AN16">
        <v>0</v>
      </c>
      <c r="AO16">
        <v>0</v>
      </c>
      <c r="AP16">
        <v>0.06</v>
      </c>
    </row>
    <row r="17" spans="1:42" x14ac:dyDescent="0.25">
      <c r="A17" t="s">
        <v>2</v>
      </c>
      <c r="B17" s="1">
        <f t="shared" ref="B17:B21" si="12">AVERAGE(I17,P17,W17,AD17,AK17)</f>
        <v>0.01</v>
      </c>
      <c r="C17" s="6">
        <f>AVERAGE(J17,Q17,X17,AE17,AL17)</f>
        <v>0.60799999999999998</v>
      </c>
      <c r="D17" s="1">
        <f t="shared" si="8"/>
        <v>0.316</v>
      </c>
      <c r="E17" s="1">
        <f t="shared" si="9"/>
        <v>6.8000000000000005E-2</v>
      </c>
      <c r="F17" s="1">
        <f t="shared" si="10"/>
        <v>0</v>
      </c>
      <c r="G17" s="1">
        <f t="shared" si="11"/>
        <v>0</v>
      </c>
      <c r="I17">
        <v>0</v>
      </c>
      <c r="J17">
        <v>0.53</v>
      </c>
      <c r="K17">
        <v>0.41</v>
      </c>
      <c r="L17">
        <v>0.06</v>
      </c>
      <c r="M17">
        <v>0</v>
      </c>
      <c r="N17">
        <v>0</v>
      </c>
      <c r="P17">
        <v>0.05</v>
      </c>
      <c r="Q17">
        <v>0.3</v>
      </c>
      <c r="R17">
        <v>0.65</v>
      </c>
      <c r="S17">
        <v>0</v>
      </c>
      <c r="T17">
        <v>0</v>
      </c>
      <c r="U17">
        <v>0</v>
      </c>
      <c r="W17">
        <v>0</v>
      </c>
      <c r="X17">
        <v>0.9</v>
      </c>
      <c r="Y17">
        <v>0</v>
      </c>
      <c r="Z17">
        <v>0.1</v>
      </c>
      <c r="AA17">
        <v>0</v>
      </c>
      <c r="AB17">
        <v>0</v>
      </c>
      <c r="AD17">
        <v>0</v>
      </c>
      <c r="AE17">
        <v>0.88</v>
      </c>
      <c r="AF17">
        <v>0</v>
      </c>
      <c r="AG17">
        <v>0.13</v>
      </c>
      <c r="AH17">
        <v>0</v>
      </c>
      <c r="AI17">
        <v>0</v>
      </c>
      <c r="AK17">
        <v>0</v>
      </c>
      <c r="AL17">
        <v>0.43</v>
      </c>
      <c r="AM17">
        <v>0.52</v>
      </c>
      <c r="AN17">
        <v>0.05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6.0000000000000001E-3</v>
      </c>
      <c r="C18" s="1">
        <f t="shared" si="7"/>
        <v>0.44000000000000006</v>
      </c>
      <c r="D18" s="6">
        <f>AVERAGE(K18,R18,Y18,AF18,AM18)</f>
        <v>0.48399999999999999</v>
      </c>
      <c r="E18" s="1">
        <f t="shared" si="9"/>
        <v>0.05</v>
      </c>
      <c r="F18" s="1">
        <f t="shared" si="10"/>
        <v>0</v>
      </c>
      <c r="G18" s="1">
        <f t="shared" si="11"/>
        <v>1.7999999999999999E-2</v>
      </c>
      <c r="I18">
        <v>0.03</v>
      </c>
      <c r="J18">
        <v>0.5</v>
      </c>
      <c r="K18">
        <v>0.4</v>
      </c>
      <c r="L18">
        <v>0.03</v>
      </c>
      <c r="M18">
        <v>0</v>
      </c>
      <c r="N18">
        <v>0.03</v>
      </c>
      <c r="P18">
        <v>0</v>
      </c>
      <c r="Q18">
        <v>0.08</v>
      </c>
      <c r="R18">
        <v>0.92</v>
      </c>
      <c r="S18">
        <v>0</v>
      </c>
      <c r="T18">
        <v>0</v>
      </c>
      <c r="U18">
        <v>0</v>
      </c>
      <c r="W18">
        <v>0</v>
      </c>
      <c r="X18">
        <v>0.53</v>
      </c>
      <c r="Y18">
        <v>0.28999999999999998</v>
      </c>
      <c r="Z18">
        <v>0.12</v>
      </c>
      <c r="AA18">
        <v>0</v>
      </c>
      <c r="AB18">
        <v>0.06</v>
      </c>
      <c r="AD18">
        <v>0</v>
      </c>
      <c r="AE18">
        <v>0.83</v>
      </c>
      <c r="AF18">
        <v>0.11</v>
      </c>
      <c r="AG18">
        <v>0.06</v>
      </c>
      <c r="AH18">
        <v>0</v>
      </c>
      <c r="AI18">
        <v>0</v>
      </c>
      <c r="AK18">
        <v>0</v>
      </c>
      <c r="AL18">
        <v>0.26</v>
      </c>
      <c r="AM18">
        <v>0.7</v>
      </c>
      <c r="AN18">
        <v>0.04</v>
      </c>
      <c r="AO18">
        <v>0</v>
      </c>
      <c r="AP18">
        <v>0</v>
      </c>
    </row>
    <row r="19" spans="1:42" x14ac:dyDescent="0.25">
      <c r="A19" t="s">
        <v>3</v>
      </c>
      <c r="B19" s="1">
        <f t="shared" si="12"/>
        <v>2.1999999999999999E-2</v>
      </c>
      <c r="C19" s="1">
        <f t="shared" si="7"/>
        <v>0.252</v>
      </c>
      <c r="D19" s="1">
        <f t="shared" si="8"/>
        <v>0.28399999999999997</v>
      </c>
      <c r="E19" s="6">
        <f>AVERAGE(L19,S19,Z19,AG19,AN19)</f>
        <v>0.40599999999999997</v>
      </c>
      <c r="F19" s="1">
        <f t="shared" si="10"/>
        <v>6.0000000000000001E-3</v>
      </c>
      <c r="G19" s="1">
        <f t="shared" si="11"/>
        <v>2.7999999999999997E-2</v>
      </c>
      <c r="I19">
        <v>0.03</v>
      </c>
      <c r="J19">
        <v>0.41</v>
      </c>
      <c r="K19">
        <v>0.13</v>
      </c>
      <c r="L19">
        <v>0.39</v>
      </c>
      <c r="M19">
        <v>0</v>
      </c>
      <c r="N19">
        <v>0.03</v>
      </c>
      <c r="P19">
        <v>0.01</v>
      </c>
      <c r="Q19">
        <v>0.02</v>
      </c>
      <c r="R19">
        <v>0.63</v>
      </c>
      <c r="S19">
        <v>0.34</v>
      </c>
      <c r="T19">
        <v>0</v>
      </c>
      <c r="U19">
        <v>0.01</v>
      </c>
      <c r="W19">
        <v>0.03</v>
      </c>
      <c r="X19">
        <v>0.41</v>
      </c>
      <c r="Y19">
        <v>0.08</v>
      </c>
      <c r="Z19">
        <v>0.44</v>
      </c>
      <c r="AA19">
        <v>0</v>
      </c>
      <c r="AB19">
        <v>0.04</v>
      </c>
      <c r="AD19">
        <v>0.03</v>
      </c>
      <c r="AE19">
        <v>0.32</v>
      </c>
      <c r="AF19">
        <v>0.05</v>
      </c>
      <c r="AG19">
        <v>0.53</v>
      </c>
      <c r="AH19">
        <v>0.03</v>
      </c>
      <c r="AI19">
        <v>0.04</v>
      </c>
      <c r="AK19">
        <v>0.01</v>
      </c>
      <c r="AL19">
        <v>0.1</v>
      </c>
      <c r="AM19">
        <v>0.53</v>
      </c>
      <c r="AN19">
        <v>0.33</v>
      </c>
      <c r="AO19">
        <v>0</v>
      </c>
      <c r="AP19">
        <v>0.02</v>
      </c>
    </row>
    <row r="20" spans="1:42" x14ac:dyDescent="0.25">
      <c r="A20" t="s">
        <v>4</v>
      </c>
      <c r="B20" s="1">
        <f t="shared" si="12"/>
        <v>9.1999999999999998E-2</v>
      </c>
      <c r="C20" s="1">
        <f t="shared" si="7"/>
        <v>0.27799999999999991</v>
      </c>
      <c r="D20" s="1">
        <f t="shared" si="8"/>
        <v>0.374</v>
      </c>
      <c r="E20" s="1">
        <f t="shared" si="9"/>
        <v>9.4E-2</v>
      </c>
      <c r="F20" s="6">
        <f>AVERAGE(M20,T20,AA20,AH20,AO20)</f>
        <v>3.0000000000000006E-2</v>
      </c>
      <c r="G20" s="1">
        <f t="shared" si="11"/>
        <v>0.13600000000000001</v>
      </c>
      <c r="I20">
        <v>0.1</v>
      </c>
      <c r="J20">
        <v>0.45</v>
      </c>
      <c r="K20">
        <v>0.17</v>
      </c>
      <c r="L20">
        <v>0.11</v>
      </c>
      <c r="M20">
        <v>0.01</v>
      </c>
      <c r="N20">
        <v>0.17</v>
      </c>
      <c r="P20">
        <v>0.05</v>
      </c>
      <c r="Q20">
        <v>0.03</v>
      </c>
      <c r="R20">
        <v>0.73</v>
      </c>
      <c r="S20">
        <v>7.0000000000000007E-2</v>
      </c>
      <c r="T20">
        <v>0</v>
      </c>
      <c r="U20">
        <v>0.12</v>
      </c>
      <c r="W20">
        <v>0.12</v>
      </c>
      <c r="X20">
        <v>0.41</v>
      </c>
      <c r="Y20">
        <v>0.18</v>
      </c>
      <c r="Z20">
        <v>0.09</v>
      </c>
      <c r="AA20">
        <v>0.03</v>
      </c>
      <c r="AB20">
        <v>0.18</v>
      </c>
      <c r="AD20">
        <v>0.15</v>
      </c>
      <c r="AE20">
        <v>0.37</v>
      </c>
      <c r="AF20">
        <v>0.1</v>
      </c>
      <c r="AG20">
        <v>0.16</v>
      </c>
      <c r="AH20">
        <v>0.1</v>
      </c>
      <c r="AI20">
        <v>0.12</v>
      </c>
      <c r="AK20">
        <v>0.04</v>
      </c>
      <c r="AL20">
        <v>0.13</v>
      </c>
      <c r="AM20">
        <v>0.69</v>
      </c>
      <c r="AN20">
        <v>0.04</v>
      </c>
      <c r="AO20">
        <v>0.01</v>
      </c>
      <c r="AP20">
        <v>0.09</v>
      </c>
    </row>
    <row r="21" spans="1:42" x14ac:dyDescent="0.25">
      <c r="A21" t="s">
        <v>5</v>
      </c>
      <c r="B21" s="1">
        <f t="shared" si="12"/>
        <v>0.126</v>
      </c>
      <c r="C21" s="1">
        <f t="shared" si="7"/>
        <v>0.16200000000000001</v>
      </c>
      <c r="D21" s="1">
        <f t="shared" si="8"/>
        <v>0.30999999999999994</v>
      </c>
      <c r="E21" s="1">
        <f t="shared" si="9"/>
        <v>3.7999999999999999E-2</v>
      </c>
      <c r="F21" s="1">
        <f t="shared" si="10"/>
        <v>3.0000000000000006E-2</v>
      </c>
      <c r="G21" s="6">
        <f>AVERAGE(N21,U21,AB21,AI21,AP21)</f>
        <v>0.33800000000000002</v>
      </c>
      <c r="I21">
        <v>0.15</v>
      </c>
      <c r="J21">
        <v>0.33</v>
      </c>
      <c r="K21">
        <v>0.09</v>
      </c>
      <c r="L21">
        <v>0.05</v>
      </c>
      <c r="M21">
        <v>0.04</v>
      </c>
      <c r="N21">
        <v>0.35</v>
      </c>
      <c r="P21">
        <v>0.09</v>
      </c>
      <c r="Q21">
        <v>0</v>
      </c>
      <c r="R21">
        <v>0.63</v>
      </c>
      <c r="S21">
        <v>0.06</v>
      </c>
      <c r="T21">
        <v>0</v>
      </c>
      <c r="U21">
        <v>0.22</v>
      </c>
      <c r="W21">
        <v>0.18</v>
      </c>
      <c r="X21">
        <v>0.16</v>
      </c>
      <c r="Y21">
        <v>0.12</v>
      </c>
      <c r="Z21">
        <v>0.04</v>
      </c>
      <c r="AA21">
        <v>0.04</v>
      </c>
      <c r="AB21">
        <v>0.47</v>
      </c>
      <c r="AD21">
        <v>0.16</v>
      </c>
      <c r="AE21">
        <v>0.27</v>
      </c>
      <c r="AF21">
        <v>7.0000000000000007E-2</v>
      </c>
      <c r="AG21">
        <v>0.04</v>
      </c>
      <c r="AH21">
        <v>7.0000000000000007E-2</v>
      </c>
      <c r="AI21">
        <v>0.39</v>
      </c>
      <c r="AK21">
        <v>0.05</v>
      </c>
      <c r="AL21">
        <v>0.05</v>
      </c>
      <c r="AM21">
        <v>0.64</v>
      </c>
      <c r="AN21">
        <v>0</v>
      </c>
      <c r="AO21">
        <v>0</v>
      </c>
      <c r="AP21">
        <v>0.26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6">
        <f>AVERAGE(I23,P23,W23,AD23,AK23)</f>
        <v>0.39600000000000002</v>
      </c>
      <c r="C23" s="1"/>
      <c r="D23" s="1"/>
      <c r="E23" s="1"/>
      <c r="F23" s="1"/>
      <c r="G23" s="1"/>
      <c r="I23">
        <v>0.37</v>
      </c>
      <c r="P23">
        <v>0.36</v>
      </c>
      <c r="W23">
        <v>0.46</v>
      </c>
      <c r="AD23">
        <v>0.44</v>
      </c>
      <c r="AK23">
        <v>0.35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456C-A23E-49CB-B61A-8FE696FF0EDF}">
  <sheetPr codeName="Arkusz4"/>
  <dimension ref="A4:AP23"/>
  <sheetViews>
    <sheetView topLeftCell="A4" workbookViewId="0">
      <selection activeCell="N22" sqref="N22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5">
        <f t="shared" ref="B5:G10" si="0">AVERAGE(I5,P5,W5,AD5,AK5)</f>
        <v>0.79600000000000004</v>
      </c>
      <c r="C5" s="1">
        <f t="shared" si="0"/>
        <v>7.5999999999999998E-2</v>
      </c>
      <c r="D5" s="1">
        <f t="shared" si="0"/>
        <v>6.0000000000000012E-2</v>
      </c>
      <c r="E5" s="1">
        <f t="shared" si="0"/>
        <v>1.2E-2</v>
      </c>
      <c r="F5" s="1">
        <f t="shared" si="0"/>
        <v>0</v>
      </c>
      <c r="G5" s="1">
        <f t="shared" si="0"/>
        <v>5.800000000000001E-2</v>
      </c>
      <c r="I5">
        <v>0.82</v>
      </c>
      <c r="J5">
        <v>0.04</v>
      </c>
      <c r="K5">
        <v>0.06</v>
      </c>
      <c r="L5">
        <v>0.02</v>
      </c>
      <c r="M5">
        <v>0</v>
      </c>
      <c r="N5">
        <v>0.06</v>
      </c>
      <c r="P5">
        <v>0.74</v>
      </c>
      <c r="Q5">
        <v>0.09</v>
      </c>
      <c r="R5">
        <v>0.1</v>
      </c>
      <c r="S5">
        <v>0.01</v>
      </c>
      <c r="T5">
        <v>0</v>
      </c>
      <c r="U5">
        <v>0.06</v>
      </c>
      <c r="W5">
        <v>0.81</v>
      </c>
      <c r="X5">
        <v>0.08</v>
      </c>
      <c r="Y5">
        <v>0.04</v>
      </c>
      <c r="Z5">
        <v>0.01</v>
      </c>
      <c r="AA5">
        <v>0</v>
      </c>
      <c r="AB5">
        <v>0.06</v>
      </c>
      <c r="AD5">
        <v>0.81</v>
      </c>
      <c r="AE5">
        <v>0.08</v>
      </c>
      <c r="AF5">
        <v>7.0000000000000007E-2</v>
      </c>
      <c r="AG5">
        <v>0</v>
      </c>
      <c r="AH5">
        <v>0</v>
      </c>
      <c r="AI5">
        <v>0.04</v>
      </c>
      <c r="AK5">
        <v>0.8</v>
      </c>
      <c r="AL5">
        <v>0.09</v>
      </c>
      <c r="AM5">
        <v>0.03</v>
      </c>
      <c r="AN5">
        <v>0.02</v>
      </c>
      <c r="AO5">
        <v>0</v>
      </c>
      <c r="AP5">
        <v>7.0000000000000007E-2</v>
      </c>
    </row>
    <row r="6" spans="1:42" x14ac:dyDescent="0.25">
      <c r="A6" t="s">
        <v>2</v>
      </c>
      <c r="B6" s="1">
        <f t="shared" si="0"/>
        <v>0</v>
      </c>
      <c r="C6" s="5">
        <f t="shared" si="0"/>
        <v>0.98399999999999999</v>
      </c>
      <c r="D6" s="1">
        <f t="shared" si="0"/>
        <v>1.6E-2</v>
      </c>
      <c r="E6" s="1">
        <f t="shared" si="0"/>
        <v>0</v>
      </c>
      <c r="F6" s="1">
        <f t="shared" si="0"/>
        <v>0</v>
      </c>
      <c r="G6" s="1">
        <f t="shared" si="0"/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W6">
        <v>0</v>
      </c>
      <c r="X6">
        <v>0.98</v>
      </c>
      <c r="Y6">
        <v>0.02</v>
      </c>
      <c r="Z6">
        <v>0</v>
      </c>
      <c r="AA6">
        <v>0</v>
      </c>
      <c r="AB6">
        <v>0</v>
      </c>
      <c r="AD6">
        <v>0</v>
      </c>
      <c r="AE6">
        <v>0.96</v>
      </c>
      <c r="AF6">
        <v>0.04</v>
      </c>
      <c r="AG6">
        <v>0</v>
      </c>
      <c r="AH6">
        <v>0</v>
      </c>
      <c r="AI6">
        <v>0</v>
      </c>
      <c r="AK6">
        <v>0</v>
      </c>
      <c r="AL6">
        <v>0.98</v>
      </c>
      <c r="AM6">
        <v>0.02</v>
      </c>
      <c r="AN6">
        <v>0</v>
      </c>
      <c r="AO6">
        <v>0</v>
      </c>
      <c r="AP6">
        <v>0</v>
      </c>
    </row>
    <row r="7" spans="1:42" x14ac:dyDescent="0.25">
      <c r="A7" t="s">
        <v>1</v>
      </c>
      <c r="B7" s="1">
        <f t="shared" si="0"/>
        <v>0</v>
      </c>
      <c r="C7" s="1">
        <f t="shared" si="0"/>
        <v>3.4000000000000002E-2</v>
      </c>
      <c r="D7" s="5">
        <f t="shared" si="0"/>
        <v>0.96599999999999997</v>
      </c>
      <c r="E7" s="1">
        <f t="shared" si="0"/>
        <v>0</v>
      </c>
      <c r="F7" s="1">
        <f t="shared" si="0"/>
        <v>0</v>
      </c>
      <c r="G7" s="1">
        <f t="shared" si="0"/>
        <v>0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W7">
        <v>0</v>
      </c>
      <c r="X7">
        <v>0.1</v>
      </c>
      <c r="Y7">
        <v>0.9</v>
      </c>
      <c r="Z7">
        <v>0</v>
      </c>
      <c r="AA7">
        <v>0</v>
      </c>
      <c r="AB7">
        <v>0</v>
      </c>
      <c r="AD7">
        <v>0</v>
      </c>
      <c r="AE7">
        <v>0.06</v>
      </c>
      <c r="AF7">
        <v>0.94</v>
      </c>
      <c r="AG7">
        <v>0</v>
      </c>
      <c r="AH7">
        <v>0</v>
      </c>
      <c r="AI7">
        <v>0</v>
      </c>
      <c r="AK7">
        <v>0</v>
      </c>
      <c r="AL7">
        <v>0.01</v>
      </c>
      <c r="AM7">
        <v>0.99</v>
      </c>
      <c r="AN7">
        <v>0</v>
      </c>
      <c r="AO7">
        <v>0</v>
      </c>
      <c r="AP7">
        <v>0</v>
      </c>
    </row>
    <row r="8" spans="1:42" x14ac:dyDescent="0.25">
      <c r="A8" t="s">
        <v>3</v>
      </c>
      <c r="B8" s="1">
        <f t="shared" si="0"/>
        <v>0.02</v>
      </c>
      <c r="C8" s="1">
        <f t="shared" si="0"/>
        <v>0.21000000000000002</v>
      </c>
      <c r="D8" s="1">
        <f t="shared" si="0"/>
        <v>0.16999999999999998</v>
      </c>
      <c r="E8" s="5">
        <f t="shared" si="0"/>
        <v>0.56399999999999995</v>
      </c>
      <c r="F8" s="1">
        <f t="shared" si="0"/>
        <v>8.0000000000000002E-3</v>
      </c>
      <c r="G8" s="1">
        <f t="shared" si="0"/>
        <v>3.2000000000000001E-2</v>
      </c>
      <c r="I8">
        <v>0.02</v>
      </c>
      <c r="J8">
        <v>0.1</v>
      </c>
      <c r="K8">
        <v>0.16</v>
      </c>
      <c r="L8">
        <v>0.66</v>
      </c>
      <c r="M8">
        <v>0.02</v>
      </c>
      <c r="N8">
        <v>0.05</v>
      </c>
      <c r="P8">
        <v>0.02</v>
      </c>
      <c r="Q8">
        <v>0.22</v>
      </c>
      <c r="R8">
        <v>0.21</v>
      </c>
      <c r="S8">
        <v>0.53</v>
      </c>
      <c r="T8">
        <v>0</v>
      </c>
      <c r="U8">
        <v>0.03</v>
      </c>
      <c r="W8">
        <v>0.02</v>
      </c>
      <c r="X8">
        <v>0.26</v>
      </c>
      <c r="Y8">
        <v>0.12</v>
      </c>
      <c r="Z8">
        <v>0.56999999999999995</v>
      </c>
      <c r="AA8">
        <v>0.01</v>
      </c>
      <c r="AB8">
        <v>0.03</v>
      </c>
      <c r="AD8">
        <v>0.02</v>
      </c>
      <c r="AE8">
        <v>0.27</v>
      </c>
      <c r="AF8">
        <v>0.22</v>
      </c>
      <c r="AG8">
        <v>0.45</v>
      </c>
      <c r="AH8">
        <v>0</v>
      </c>
      <c r="AI8">
        <v>0.03</v>
      </c>
      <c r="AK8">
        <v>0.02</v>
      </c>
      <c r="AL8">
        <v>0.2</v>
      </c>
      <c r="AM8">
        <v>0.14000000000000001</v>
      </c>
      <c r="AN8">
        <v>0.61</v>
      </c>
      <c r="AO8">
        <v>0.01</v>
      </c>
      <c r="AP8">
        <v>0.02</v>
      </c>
    </row>
    <row r="9" spans="1:42" x14ac:dyDescent="0.25">
      <c r="A9" t="s">
        <v>4</v>
      </c>
      <c r="B9" s="1">
        <f t="shared" si="0"/>
        <v>8.6000000000000007E-2</v>
      </c>
      <c r="C9" s="1">
        <f t="shared" si="0"/>
        <v>0.29200000000000004</v>
      </c>
      <c r="D9" s="1">
        <f t="shared" si="0"/>
        <v>0.28600000000000003</v>
      </c>
      <c r="E9" s="1">
        <f t="shared" si="0"/>
        <v>9.1999999999999998E-2</v>
      </c>
      <c r="F9" s="5">
        <f t="shared" si="0"/>
        <v>9.4E-2</v>
      </c>
      <c r="G9" s="1">
        <f t="shared" si="0"/>
        <v>0.14599999999999999</v>
      </c>
      <c r="I9">
        <v>0.12</v>
      </c>
      <c r="J9">
        <v>0.11</v>
      </c>
      <c r="K9">
        <v>0.24</v>
      </c>
      <c r="L9">
        <v>0.12</v>
      </c>
      <c r="M9">
        <v>0.22</v>
      </c>
      <c r="N9">
        <v>0.19</v>
      </c>
      <c r="P9">
        <v>0.06</v>
      </c>
      <c r="Q9">
        <v>0.31</v>
      </c>
      <c r="R9">
        <v>0.39</v>
      </c>
      <c r="S9">
        <v>0.08</v>
      </c>
      <c r="T9">
        <v>0.06</v>
      </c>
      <c r="U9">
        <v>0.11</v>
      </c>
      <c r="W9">
        <v>0.08</v>
      </c>
      <c r="X9">
        <v>0.35</v>
      </c>
      <c r="Y9">
        <v>0.19</v>
      </c>
      <c r="Z9">
        <v>0.11</v>
      </c>
      <c r="AA9">
        <v>0.09</v>
      </c>
      <c r="AB9">
        <v>0.16</v>
      </c>
      <c r="AD9">
        <v>7.0000000000000007E-2</v>
      </c>
      <c r="AE9">
        <v>0.39</v>
      </c>
      <c r="AF9">
        <v>0.33</v>
      </c>
      <c r="AG9">
        <v>0.05</v>
      </c>
      <c r="AH9">
        <v>0.03</v>
      </c>
      <c r="AI9">
        <v>0.12</v>
      </c>
      <c r="AK9">
        <v>0.1</v>
      </c>
      <c r="AL9">
        <v>0.3</v>
      </c>
      <c r="AM9">
        <v>0.28000000000000003</v>
      </c>
      <c r="AN9">
        <v>0.1</v>
      </c>
      <c r="AO9">
        <v>7.0000000000000007E-2</v>
      </c>
      <c r="AP9">
        <v>0.15</v>
      </c>
    </row>
    <row r="10" spans="1:42" x14ac:dyDescent="0.25">
      <c r="A10" t="s">
        <v>5</v>
      </c>
      <c r="B10" s="1">
        <f t="shared" si="0"/>
        <v>3.4000000000000002E-2</v>
      </c>
      <c r="C10" s="1">
        <f t="shared" si="0"/>
        <v>0.10400000000000001</v>
      </c>
      <c r="D10" s="1">
        <f t="shared" si="0"/>
        <v>0.10999999999999999</v>
      </c>
      <c r="E10" s="1">
        <f t="shared" si="0"/>
        <v>0.01</v>
      </c>
      <c r="F10" s="1">
        <f t="shared" si="0"/>
        <v>6.0000000000000001E-3</v>
      </c>
      <c r="G10" s="5">
        <f t="shared" si="0"/>
        <v>0.73199999999999998</v>
      </c>
      <c r="I10">
        <v>0.04</v>
      </c>
      <c r="J10">
        <v>0.04</v>
      </c>
      <c r="K10">
        <v>0.08</v>
      </c>
      <c r="L10">
        <v>0.02</v>
      </c>
      <c r="M10">
        <v>0.02</v>
      </c>
      <c r="N10">
        <v>0.81</v>
      </c>
      <c r="P10">
        <v>0.03</v>
      </c>
      <c r="Q10">
        <v>0.12</v>
      </c>
      <c r="R10">
        <v>0.15</v>
      </c>
      <c r="S10">
        <v>0.01</v>
      </c>
      <c r="T10">
        <v>0.01</v>
      </c>
      <c r="U10">
        <v>0.68</v>
      </c>
      <c r="W10">
        <v>0.04</v>
      </c>
      <c r="X10">
        <v>0.09</v>
      </c>
      <c r="Y10">
        <v>0.09</v>
      </c>
      <c r="Z10">
        <v>0</v>
      </c>
      <c r="AA10">
        <v>0</v>
      </c>
      <c r="AB10">
        <v>0.77</v>
      </c>
      <c r="AD10">
        <v>0.03</v>
      </c>
      <c r="AE10">
        <v>0.16</v>
      </c>
      <c r="AF10">
        <v>0.13</v>
      </c>
      <c r="AG10">
        <v>0</v>
      </c>
      <c r="AH10">
        <v>0</v>
      </c>
      <c r="AI10">
        <v>0.67</v>
      </c>
      <c r="AK10">
        <v>0.03</v>
      </c>
      <c r="AL10">
        <v>0.11</v>
      </c>
      <c r="AM10">
        <v>0.1</v>
      </c>
      <c r="AN10">
        <v>0.02</v>
      </c>
      <c r="AO10">
        <v>0</v>
      </c>
      <c r="AP10">
        <v>0.73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5">
        <f>AVERAGE(I12,P12,W12,AD12,AK12)</f>
        <v>0.69000000000000006</v>
      </c>
      <c r="C12" s="1"/>
      <c r="D12" s="1"/>
      <c r="E12" s="1"/>
      <c r="F12" s="1"/>
      <c r="G12" s="1"/>
      <c r="I12">
        <v>0.75</v>
      </c>
      <c r="P12">
        <v>0.67</v>
      </c>
      <c r="W12">
        <v>0.69</v>
      </c>
      <c r="AD12">
        <v>0.64</v>
      </c>
      <c r="AK12">
        <v>0.7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5">
        <f t="shared" ref="B16:G21" si="1">AVERAGE(I16,P16,W16,AD16,AK16)</f>
        <v>0.61799999999999999</v>
      </c>
      <c r="C16" s="1">
        <f t="shared" si="1"/>
        <v>8.199999999999999E-2</v>
      </c>
      <c r="D16" s="1">
        <f t="shared" si="1"/>
        <v>0.11200000000000002</v>
      </c>
      <c r="E16" s="1">
        <f t="shared" si="1"/>
        <v>4.3999999999999997E-2</v>
      </c>
      <c r="F16" s="1">
        <f t="shared" si="1"/>
        <v>1.4000000000000002E-2</v>
      </c>
      <c r="G16" s="1">
        <f t="shared" si="1"/>
        <v>0.13599999999999998</v>
      </c>
      <c r="I16">
        <v>0.6</v>
      </c>
      <c r="J16">
        <v>0.03</v>
      </c>
      <c r="K16">
        <v>0.03</v>
      </c>
      <c r="L16">
        <v>0.1</v>
      </c>
      <c r="M16">
        <v>0.03</v>
      </c>
      <c r="N16">
        <v>0.21</v>
      </c>
      <c r="P16">
        <v>0.57999999999999996</v>
      </c>
      <c r="Q16">
        <v>0.09</v>
      </c>
      <c r="R16">
        <v>0.14000000000000001</v>
      </c>
      <c r="S16">
        <v>0.03</v>
      </c>
      <c r="T16">
        <v>0.02</v>
      </c>
      <c r="U16">
        <v>0.15</v>
      </c>
      <c r="W16">
        <v>0.62</v>
      </c>
      <c r="X16">
        <v>0.02</v>
      </c>
      <c r="Y16">
        <v>0.15</v>
      </c>
      <c r="Z16">
        <v>0.02</v>
      </c>
      <c r="AA16">
        <v>0.02</v>
      </c>
      <c r="AB16">
        <v>0.18</v>
      </c>
      <c r="AD16">
        <v>0.57999999999999996</v>
      </c>
      <c r="AE16">
        <v>0.18</v>
      </c>
      <c r="AF16">
        <v>0.12</v>
      </c>
      <c r="AG16">
        <v>0.04</v>
      </c>
      <c r="AH16">
        <v>0</v>
      </c>
      <c r="AI16">
        <v>0.08</v>
      </c>
      <c r="AK16">
        <v>0.71</v>
      </c>
      <c r="AL16">
        <v>0.09</v>
      </c>
      <c r="AM16">
        <v>0.12</v>
      </c>
      <c r="AN16">
        <v>0.03</v>
      </c>
      <c r="AO16">
        <v>0</v>
      </c>
      <c r="AP16">
        <v>0.06</v>
      </c>
    </row>
    <row r="17" spans="1:42" x14ac:dyDescent="0.25">
      <c r="A17" t="s">
        <v>2</v>
      </c>
      <c r="B17" s="1">
        <f t="shared" si="1"/>
        <v>0.01</v>
      </c>
      <c r="C17" s="5">
        <f t="shared" si="1"/>
        <v>0.46800000000000008</v>
      </c>
      <c r="D17" s="1">
        <f t="shared" si="1"/>
        <v>0.41</v>
      </c>
      <c r="E17" s="1">
        <f t="shared" si="1"/>
        <v>0.10200000000000001</v>
      </c>
      <c r="F17" s="1">
        <f t="shared" si="1"/>
        <v>0</v>
      </c>
      <c r="G17" s="1">
        <f t="shared" si="1"/>
        <v>1.2E-2</v>
      </c>
      <c r="I17">
        <v>0</v>
      </c>
      <c r="J17">
        <v>0.53</v>
      </c>
      <c r="K17">
        <v>0.28999999999999998</v>
      </c>
      <c r="L17">
        <v>0.12</v>
      </c>
      <c r="M17">
        <v>0</v>
      </c>
      <c r="N17">
        <v>0.06</v>
      </c>
      <c r="P17">
        <v>0</v>
      </c>
      <c r="Q17">
        <v>0.47</v>
      </c>
      <c r="R17">
        <v>0.37</v>
      </c>
      <c r="S17">
        <v>0.16</v>
      </c>
      <c r="T17">
        <v>0</v>
      </c>
      <c r="U17">
        <v>0</v>
      </c>
      <c r="W17">
        <v>0</v>
      </c>
      <c r="X17">
        <v>0.64</v>
      </c>
      <c r="Y17">
        <v>0.27</v>
      </c>
      <c r="Z17">
        <v>0.09</v>
      </c>
      <c r="AA17">
        <v>0</v>
      </c>
      <c r="AB17">
        <v>0</v>
      </c>
      <c r="AD17">
        <v>0</v>
      </c>
      <c r="AE17">
        <v>0.28999999999999998</v>
      </c>
      <c r="AF17">
        <v>0.56999999999999995</v>
      </c>
      <c r="AG17">
        <v>0.14000000000000001</v>
      </c>
      <c r="AH17">
        <v>0</v>
      </c>
      <c r="AI17">
        <v>0</v>
      </c>
      <c r="AK17">
        <v>0.05</v>
      </c>
      <c r="AL17">
        <v>0.41</v>
      </c>
      <c r="AM17">
        <v>0.55000000000000004</v>
      </c>
      <c r="AN17">
        <v>0</v>
      </c>
      <c r="AO17">
        <v>0</v>
      </c>
      <c r="AP17">
        <v>0</v>
      </c>
    </row>
    <row r="18" spans="1:42" x14ac:dyDescent="0.25">
      <c r="A18" t="s">
        <v>1</v>
      </c>
      <c r="B18" s="1">
        <f t="shared" si="1"/>
        <v>3.0000000000000006E-2</v>
      </c>
      <c r="C18" s="1">
        <f t="shared" si="1"/>
        <v>0.376</v>
      </c>
      <c r="D18" s="5">
        <f t="shared" si="1"/>
        <v>0.46200000000000002</v>
      </c>
      <c r="E18" s="1">
        <f t="shared" si="1"/>
        <v>0.10800000000000001</v>
      </c>
      <c r="F18" s="1">
        <f t="shared" si="1"/>
        <v>0</v>
      </c>
      <c r="G18" s="1">
        <f t="shared" si="1"/>
        <v>2.4E-2</v>
      </c>
      <c r="I18">
        <v>0.04</v>
      </c>
      <c r="J18">
        <v>0.26</v>
      </c>
      <c r="K18">
        <v>0.43</v>
      </c>
      <c r="L18">
        <v>0.22</v>
      </c>
      <c r="M18">
        <v>0</v>
      </c>
      <c r="N18">
        <v>0.04</v>
      </c>
      <c r="P18">
        <v>0.04</v>
      </c>
      <c r="Q18">
        <v>0.56000000000000005</v>
      </c>
      <c r="R18">
        <v>0.36</v>
      </c>
      <c r="S18">
        <v>0.04</v>
      </c>
      <c r="T18">
        <v>0</v>
      </c>
      <c r="U18">
        <v>0</v>
      </c>
      <c r="W18">
        <v>0</v>
      </c>
      <c r="X18">
        <v>0.57999999999999996</v>
      </c>
      <c r="Y18">
        <v>0.17</v>
      </c>
      <c r="Z18">
        <v>0.17</v>
      </c>
      <c r="AA18">
        <v>0</v>
      </c>
      <c r="AB18">
        <v>0.08</v>
      </c>
      <c r="AD18">
        <v>7.0000000000000007E-2</v>
      </c>
      <c r="AE18">
        <v>0.27</v>
      </c>
      <c r="AF18">
        <v>0.67</v>
      </c>
      <c r="AG18">
        <v>0</v>
      </c>
      <c r="AH18">
        <v>0</v>
      </c>
      <c r="AI18">
        <v>0</v>
      </c>
      <c r="AK18">
        <v>0</v>
      </c>
      <c r="AL18">
        <v>0.21</v>
      </c>
      <c r="AM18">
        <v>0.68</v>
      </c>
      <c r="AN18">
        <v>0.11</v>
      </c>
      <c r="AO18">
        <v>0</v>
      </c>
      <c r="AP18">
        <v>0</v>
      </c>
    </row>
    <row r="19" spans="1:42" x14ac:dyDescent="0.25">
      <c r="A19" t="s">
        <v>3</v>
      </c>
      <c r="B19" s="1">
        <f t="shared" si="1"/>
        <v>3.4000000000000002E-2</v>
      </c>
      <c r="C19" s="1">
        <f t="shared" si="1"/>
        <v>0.23399999999999999</v>
      </c>
      <c r="D19" s="1">
        <f t="shared" si="1"/>
        <v>0.19600000000000001</v>
      </c>
      <c r="E19" s="5">
        <f t="shared" si="1"/>
        <v>0.48799999999999999</v>
      </c>
      <c r="F19" s="1">
        <f t="shared" si="1"/>
        <v>8.0000000000000002E-3</v>
      </c>
      <c r="G19" s="1">
        <f t="shared" si="1"/>
        <v>3.6000000000000004E-2</v>
      </c>
      <c r="I19">
        <v>0.05</v>
      </c>
      <c r="J19">
        <v>0.16</v>
      </c>
      <c r="K19">
        <v>0.17</v>
      </c>
      <c r="L19">
        <v>0.55000000000000004</v>
      </c>
      <c r="M19">
        <v>0.03</v>
      </c>
      <c r="N19">
        <v>0.05</v>
      </c>
      <c r="P19">
        <v>0.04</v>
      </c>
      <c r="Q19">
        <v>0.21</v>
      </c>
      <c r="R19">
        <v>0.26</v>
      </c>
      <c r="S19">
        <v>0.45</v>
      </c>
      <c r="T19">
        <v>0.01</v>
      </c>
      <c r="U19">
        <v>0.02</v>
      </c>
      <c r="W19">
        <v>0.02</v>
      </c>
      <c r="X19">
        <v>0.28000000000000003</v>
      </c>
      <c r="Y19">
        <v>0.16</v>
      </c>
      <c r="Z19">
        <v>0.49</v>
      </c>
      <c r="AA19">
        <v>0</v>
      </c>
      <c r="AB19">
        <v>0.04</v>
      </c>
      <c r="AD19">
        <v>0.02</v>
      </c>
      <c r="AE19">
        <v>0.33</v>
      </c>
      <c r="AF19">
        <v>0.24</v>
      </c>
      <c r="AG19">
        <v>0.38</v>
      </c>
      <c r="AH19">
        <v>0</v>
      </c>
      <c r="AI19">
        <v>0.03</v>
      </c>
      <c r="AK19">
        <v>0.04</v>
      </c>
      <c r="AL19">
        <v>0.19</v>
      </c>
      <c r="AM19">
        <v>0.15</v>
      </c>
      <c r="AN19">
        <v>0.56999999999999995</v>
      </c>
      <c r="AO19">
        <v>0</v>
      </c>
      <c r="AP19">
        <v>0.04</v>
      </c>
    </row>
    <row r="20" spans="1:42" x14ac:dyDescent="0.25">
      <c r="A20" t="s">
        <v>4</v>
      </c>
      <c r="B20" s="1">
        <f t="shared" si="1"/>
        <v>0.10600000000000001</v>
      </c>
      <c r="C20" s="1">
        <f t="shared" si="1"/>
        <v>0.252</v>
      </c>
      <c r="D20" s="1">
        <f t="shared" si="1"/>
        <v>0.28799999999999998</v>
      </c>
      <c r="E20" s="1">
        <f t="shared" si="1"/>
        <v>0.126</v>
      </c>
      <c r="F20" s="5">
        <f t="shared" si="1"/>
        <v>3.2000000000000001E-2</v>
      </c>
      <c r="G20" s="1">
        <f t="shared" si="1"/>
        <v>0.19800000000000001</v>
      </c>
      <c r="I20">
        <v>0.17</v>
      </c>
      <c r="J20">
        <v>0.2</v>
      </c>
      <c r="K20">
        <v>0.21</v>
      </c>
      <c r="L20">
        <v>0.17</v>
      </c>
      <c r="M20">
        <v>0.05</v>
      </c>
      <c r="N20">
        <v>0.2</v>
      </c>
      <c r="P20">
        <v>0.05</v>
      </c>
      <c r="Q20">
        <v>0.28000000000000003</v>
      </c>
      <c r="R20">
        <v>0.37</v>
      </c>
      <c r="S20">
        <v>0.08</v>
      </c>
      <c r="T20">
        <v>0.02</v>
      </c>
      <c r="U20">
        <v>0.19</v>
      </c>
      <c r="W20">
        <v>0.1</v>
      </c>
      <c r="X20">
        <v>0.28999999999999998</v>
      </c>
      <c r="Y20">
        <v>0.23</v>
      </c>
      <c r="Z20">
        <v>0.15</v>
      </c>
      <c r="AA20">
        <v>0.03</v>
      </c>
      <c r="AB20">
        <v>0.2</v>
      </c>
      <c r="AD20">
        <v>0.14000000000000001</v>
      </c>
      <c r="AE20">
        <v>0.23</v>
      </c>
      <c r="AF20">
        <v>0.35</v>
      </c>
      <c r="AG20">
        <v>0.1</v>
      </c>
      <c r="AH20">
        <v>0.02</v>
      </c>
      <c r="AI20">
        <v>0.18</v>
      </c>
      <c r="AK20">
        <v>7.0000000000000007E-2</v>
      </c>
      <c r="AL20">
        <v>0.26</v>
      </c>
      <c r="AM20">
        <v>0.28000000000000003</v>
      </c>
      <c r="AN20">
        <v>0.13</v>
      </c>
      <c r="AO20">
        <v>0.04</v>
      </c>
      <c r="AP20">
        <v>0.22</v>
      </c>
    </row>
    <row r="21" spans="1:42" x14ac:dyDescent="0.25">
      <c r="A21" t="s">
        <v>5</v>
      </c>
      <c r="B21" s="1">
        <f t="shared" si="1"/>
        <v>0.124</v>
      </c>
      <c r="C21" s="1">
        <f t="shared" si="1"/>
        <v>0.158</v>
      </c>
      <c r="D21" s="1">
        <f t="shared" si="1"/>
        <v>0.17599999999999999</v>
      </c>
      <c r="E21" s="1">
        <f t="shared" si="1"/>
        <v>5.800000000000001E-2</v>
      </c>
      <c r="F21" s="1">
        <f t="shared" si="1"/>
        <v>2.6000000000000002E-2</v>
      </c>
      <c r="G21" s="5">
        <f t="shared" si="1"/>
        <v>0.45999999999999996</v>
      </c>
      <c r="I21">
        <v>0.2</v>
      </c>
      <c r="J21">
        <v>0.04</v>
      </c>
      <c r="K21">
        <v>0.09</v>
      </c>
      <c r="L21">
        <v>0.09</v>
      </c>
      <c r="M21">
        <v>7.0000000000000007E-2</v>
      </c>
      <c r="N21">
        <v>0.51</v>
      </c>
      <c r="P21">
        <v>0.09</v>
      </c>
      <c r="Q21">
        <v>0.12</v>
      </c>
      <c r="R21">
        <v>0.24</v>
      </c>
      <c r="S21">
        <v>0.01</v>
      </c>
      <c r="T21">
        <v>0.01</v>
      </c>
      <c r="U21">
        <v>0.53</v>
      </c>
      <c r="W21">
        <v>0.1</v>
      </c>
      <c r="X21">
        <v>0.16</v>
      </c>
      <c r="Y21">
        <v>0.18</v>
      </c>
      <c r="Z21">
        <v>0.1</v>
      </c>
      <c r="AA21">
        <v>0.04</v>
      </c>
      <c r="AB21">
        <v>0.43</v>
      </c>
      <c r="AD21">
        <v>0.13</v>
      </c>
      <c r="AE21">
        <v>0.19</v>
      </c>
      <c r="AF21">
        <v>0.2</v>
      </c>
      <c r="AG21">
        <v>0.04</v>
      </c>
      <c r="AH21">
        <v>0.01</v>
      </c>
      <c r="AI21">
        <v>0.43</v>
      </c>
      <c r="AK21">
        <v>0.1</v>
      </c>
      <c r="AL21">
        <v>0.28000000000000003</v>
      </c>
      <c r="AM21">
        <v>0.17</v>
      </c>
      <c r="AN21">
        <v>0.05</v>
      </c>
      <c r="AO21">
        <v>0</v>
      </c>
      <c r="AP21">
        <v>0.4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A23" s="1"/>
      <c r="B23" s="5">
        <f>AVERAGE(I23,P23,W23,AD23,AK23)</f>
        <v>0.42200000000000004</v>
      </c>
      <c r="C23" s="1"/>
      <c r="D23" s="1"/>
      <c r="E23" s="1"/>
      <c r="F23" s="1"/>
      <c r="G23" s="1"/>
      <c r="I23">
        <v>0.45</v>
      </c>
      <c r="P23">
        <v>0.4</v>
      </c>
      <c r="W23">
        <v>0.4</v>
      </c>
      <c r="AD23">
        <v>0.39</v>
      </c>
      <c r="AK23">
        <v>0.47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706A6-4C3A-4B10-808F-3F551D135A7C}">
  <sheetPr codeName="Arkusz6"/>
  <dimension ref="A5:AP23"/>
  <sheetViews>
    <sheetView topLeftCell="A4" workbookViewId="0">
      <selection activeCell="B5" sqref="B5"/>
    </sheetView>
  </sheetViews>
  <sheetFormatPr defaultRowHeight="15" x14ac:dyDescent="0.25"/>
  <sheetData>
    <row r="5" spans="1:42" x14ac:dyDescent="0.25">
      <c r="B5" s="5">
        <f>AVERAGE(I5,P5,W5,AD5,AK5)</f>
        <v>0.94000000000000006</v>
      </c>
      <c r="C5" s="1">
        <f t="shared" ref="C5:G5" si="0">AVERAGE(J5,Q5,X5,AE5,AL5)</f>
        <v>0</v>
      </c>
      <c r="D5" s="1">
        <f t="shared" si="0"/>
        <v>5.6000000000000008E-2</v>
      </c>
      <c r="E5" s="1">
        <f t="shared" si="0"/>
        <v>0</v>
      </c>
      <c r="F5" s="1">
        <f t="shared" si="0"/>
        <v>0</v>
      </c>
      <c r="G5" s="1">
        <f t="shared" si="0"/>
        <v>2E-3</v>
      </c>
      <c r="I5">
        <v>0.92</v>
      </c>
      <c r="J5">
        <v>0</v>
      </c>
      <c r="K5">
        <v>0.08</v>
      </c>
      <c r="L5">
        <v>0</v>
      </c>
      <c r="M5">
        <v>0</v>
      </c>
      <c r="N5">
        <v>0</v>
      </c>
      <c r="P5">
        <v>0.81</v>
      </c>
      <c r="Q5">
        <v>0</v>
      </c>
      <c r="R5">
        <v>0.19</v>
      </c>
      <c r="S5">
        <v>0</v>
      </c>
      <c r="T5">
        <v>0</v>
      </c>
      <c r="U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D5">
        <v>1</v>
      </c>
      <c r="AE5">
        <v>0</v>
      </c>
      <c r="AF5">
        <v>0</v>
      </c>
      <c r="AG5">
        <v>0</v>
      </c>
      <c r="AH5">
        <v>0</v>
      </c>
      <c r="AI5">
        <v>0</v>
      </c>
      <c r="AK5">
        <v>0.97</v>
      </c>
      <c r="AL5">
        <v>0</v>
      </c>
      <c r="AM5">
        <v>0.01</v>
      </c>
      <c r="AN5">
        <v>0</v>
      </c>
      <c r="AO5">
        <v>0</v>
      </c>
      <c r="AP5">
        <v>0.01</v>
      </c>
    </row>
    <row r="6" spans="1:42" x14ac:dyDescent="0.25">
      <c r="B6" s="1">
        <f t="shared" ref="B6:B21" si="1">AVERAGE(I6,P6,W6,AD6,AK6)</f>
        <v>1.6E-2</v>
      </c>
      <c r="C6" s="5">
        <f>AVERAGE(J6,Q6,X6,AE6,AL6)</f>
        <v>0.95399999999999996</v>
      </c>
      <c r="D6" s="1">
        <f t="shared" ref="D6:D21" si="2">AVERAGE(K6,R6,Y6,AF6,AM6)</f>
        <v>2.6000000000000002E-2</v>
      </c>
      <c r="E6" s="1">
        <f t="shared" ref="E6:E21" si="3">AVERAGE(L6,S6,Z6,AG6,AN6)</f>
        <v>0</v>
      </c>
      <c r="F6" s="1">
        <f t="shared" ref="F6:F21" si="4">AVERAGE(M6,T6,AA6,AH6,AO6)</f>
        <v>8.0000000000000002E-3</v>
      </c>
      <c r="G6" s="1">
        <f t="shared" ref="G6:G20" si="5">AVERAGE(N6,U6,AB6,AI6,AP6)</f>
        <v>0</v>
      </c>
      <c r="I6">
        <v>0</v>
      </c>
      <c r="J6">
        <v>0.91</v>
      </c>
      <c r="K6">
        <v>0.09</v>
      </c>
      <c r="L6">
        <v>0</v>
      </c>
      <c r="M6">
        <v>0</v>
      </c>
      <c r="N6">
        <v>0</v>
      </c>
      <c r="P6">
        <v>0</v>
      </c>
      <c r="Q6">
        <v>0.97</v>
      </c>
      <c r="R6">
        <v>0.03</v>
      </c>
      <c r="S6">
        <v>0</v>
      </c>
      <c r="T6">
        <v>0</v>
      </c>
      <c r="U6">
        <v>0</v>
      </c>
      <c r="W6">
        <v>0.06</v>
      </c>
      <c r="X6">
        <v>0.94</v>
      </c>
      <c r="Y6">
        <v>0</v>
      </c>
      <c r="Z6">
        <v>0</v>
      </c>
      <c r="AA6">
        <v>0</v>
      </c>
      <c r="AB6">
        <v>0</v>
      </c>
      <c r="AD6">
        <v>0.02</v>
      </c>
      <c r="AE6">
        <v>0.98</v>
      </c>
      <c r="AF6">
        <v>0</v>
      </c>
      <c r="AG6">
        <v>0</v>
      </c>
      <c r="AH6">
        <v>0.01</v>
      </c>
      <c r="AI6">
        <v>0</v>
      </c>
      <c r="AK6">
        <v>0</v>
      </c>
      <c r="AL6">
        <v>0.97</v>
      </c>
      <c r="AM6">
        <v>0.01</v>
      </c>
      <c r="AN6">
        <v>0</v>
      </c>
      <c r="AO6">
        <v>0.03</v>
      </c>
      <c r="AP6">
        <v>0</v>
      </c>
    </row>
    <row r="7" spans="1:42" x14ac:dyDescent="0.25">
      <c r="B7" s="1">
        <f t="shared" si="1"/>
        <v>4.2000000000000003E-2</v>
      </c>
      <c r="C7" s="1">
        <f t="shared" ref="C7:C21" si="6">AVERAGE(J7,Q7,X7,AE7,AL7)</f>
        <v>0</v>
      </c>
      <c r="D7" s="5">
        <f>AVERAGE(K7,R7,Y7,AF7,AM7)</f>
        <v>0.95599999999999985</v>
      </c>
      <c r="E7" s="1">
        <f t="shared" si="3"/>
        <v>0</v>
      </c>
      <c r="F7" s="1">
        <f t="shared" si="4"/>
        <v>0</v>
      </c>
      <c r="G7" s="1">
        <f t="shared" si="5"/>
        <v>2E-3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W7">
        <v>0.14000000000000001</v>
      </c>
      <c r="X7">
        <v>0</v>
      </c>
      <c r="Y7">
        <v>0.86</v>
      </c>
      <c r="Z7">
        <v>0</v>
      </c>
      <c r="AA7">
        <v>0</v>
      </c>
      <c r="AB7">
        <v>0</v>
      </c>
      <c r="AD7">
        <v>7.0000000000000007E-2</v>
      </c>
      <c r="AE7">
        <v>0</v>
      </c>
      <c r="AF7">
        <v>0.92</v>
      </c>
      <c r="AG7">
        <v>0</v>
      </c>
      <c r="AH7">
        <v>0</v>
      </c>
      <c r="AI7">
        <v>0.01</v>
      </c>
      <c r="AK7">
        <v>0</v>
      </c>
      <c r="AL7">
        <v>0</v>
      </c>
      <c r="AM7">
        <v>1</v>
      </c>
      <c r="AN7">
        <v>0</v>
      </c>
      <c r="AO7">
        <v>0</v>
      </c>
      <c r="AP7">
        <v>0</v>
      </c>
    </row>
    <row r="8" spans="1:42" x14ac:dyDescent="0.25">
      <c r="B8" s="1">
        <f t="shared" si="1"/>
        <v>0.124</v>
      </c>
      <c r="C8" s="1">
        <f t="shared" si="6"/>
        <v>5.6000000000000008E-2</v>
      </c>
      <c r="D8" s="1">
        <f t="shared" si="2"/>
        <v>0.25800000000000001</v>
      </c>
      <c r="E8" s="5">
        <f>AVERAGE(L8,S8,Z8,AG8,AN8)</f>
        <v>0.52400000000000002</v>
      </c>
      <c r="F8" s="1">
        <f t="shared" si="4"/>
        <v>8.0000000000000002E-3</v>
      </c>
      <c r="G8" s="1">
        <f t="shared" si="5"/>
        <v>2.6000000000000002E-2</v>
      </c>
      <c r="I8">
        <v>0.03</v>
      </c>
      <c r="J8">
        <v>0.1</v>
      </c>
      <c r="K8">
        <v>0.45</v>
      </c>
      <c r="L8">
        <v>0.4</v>
      </c>
      <c r="M8">
        <v>0</v>
      </c>
      <c r="N8">
        <v>0.02</v>
      </c>
      <c r="P8">
        <v>0.01</v>
      </c>
      <c r="Q8">
        <v>0.03</v>
      </c>
      <c r="R8">
        <v>0.56000000000000005</v>
      </c>
      <c r="S8">
        <v>0.38</v>
      </c>
      <c r="T8">
        <v>0</v>
      </c>
      <c r="U8">
        <v>0.01</v>
      </c>
      <c r="W8">
        <v>0.32</v>
      </c>
      <c r="X8">
        <v>0.04</v>
      </c>
      <c r="Y8">
        <v>0.02</v>
      </c>
      <c r="Z8">
        <v>0.56999999999999995</v>
      </c>
      <c r="AA8">
        <v>0.01</v>
      </c>
      <c r="AB8">
        <v>0.04</v>
      </c>
      <c r="AD8">
        <v>0.22</v>
      </c>
      <c r="AE8">
        <v>0.05</v>
      </c>
      <c r="AF8">
        <v>7.0000000000000007E-2</v>
      </c>
      <c r="AG8">
        <v>0.61</v>
      </c>
      <c r="AH8">
        <v>0.01</v>
      </c>
      <c r="AI8">
        <v>0.03</v>
      </c>
      <c r="AK8">
        <v>0.04</v>
      </c>
      <c r="AL8">
        <v>0.06</v>
      </c>
      <c r="AM8">
        <v>0.19</v>
      </c>
      <c r="AN8">
        <v>0.66</v>
      </c>
      <c r="AO8">
        <v>0.02</v>
      </c>
      <c r="AP8">
        <v>0.03</v>
      </c>
    </row>
    <row r="9" spans="1:42" x14ac:dyDescent="0.25">
      <c r="B9" s="1">
        <f t="shared" si="1"/>
        <v>0.17199999999999999</v>
      </c>
      <c r="C9" s="1">
        <f t="shared" si="6"/>
        <v>0.10600000000000001</v>
      </c>
      <c r="D9" s="1">
        <f t="shared" si="2"/>
        <v>0.36199999999999999</v>
      </c>
      <c r="E9" s="1">
        <f t="shared" si="3"/>
        <v>7.3999999999999996E-2</v>
      </c>
      <c r="F9" s="5">
        <f>AVERAGE(M9,T9,AA9,AH9,AO9)</f>
        <v>0.17799999999999999</v>
      </c>
      <c r="G9" s="1">
        <f t="shared" si="5"/>
        <v>0.10600000000000001</v>
      </c>
      <c r="I9">
        <v>0.02</v>
      </c>
      <c r="J9">
        <v>0.13</v>
      </c>
      <c r="K9">
        <v>0.65</v>
      </c>
      <c r="L9">
        <v>0.04</v>
      </c>
      <c r="M9">
        <v>0.08</v>
      </c>
      <c r="N9">
        <v>0.08</v>
      </c>
      <c r="P9">
        <v>0.01</v>
      </c>
      <c r="Q9">
        <v>0.06</v>
      </c>
      <c r="R9">
        <v>0.77</v>
      </c>
      <c r="S9">
        <v>0.03</v>
      </c>
      <c r="T9">
        <v>0.09</v>
      </c>
      <c r="U9">
        <v>0.04</v>
      </c>
      <c r="W9">
        <v>0.43</v>
      </c>
      <c r="X9">
        <v>0.09</v>
      </c>
      <c r="Y9">
        <v>7.0000000000000007E-2</v>
      </c>
      <c r="Z9">
        <v>0.09</v>
      </c>
      <c r="AA9">
        <v>0.2</v>
      </c>
      <c r="AB9">
        <v>0.11</v>
      </c>
      <c r="AD9">
        <v>0.35</v>
      </c>
      <c r="AE9">
        <v>0.09</v>
      </c>
      <c r="AF9">
        <v>7.0000000000000007E-2</v>
      </c>
      <c r="AG9">
        <v>0.11</v>
      </c>
      <c r="AH9">
        <v>0.23</v>
      </c>
      <c r="AI9">
        <v>0.15</v>
      </c>
      <c r="AK9">
        <v>0.05</v>
      </c>
      <c r="AL9">
        <v>0.16</v>
      </c>
      <c r="AM9">
        <v>0.25</v>
      </c>
      <c r="AN9">
        <v>0.1</v>
      </c>
      <c r="AO9">
        <v>0.28999999999999998</v>
      </c>
      <c r="AP9">
        <v>0.15</v>
      </c>
    </row>
    <row r="10" spans="1:42" x14ac:dyDescent="0.25">
      <c r="B10" s="1">
        <f t="shared" si="1"/>
        <v>6.4000000000000001E-2</v>
      </c>
      <c r="C10" s="1">
        <f t="shared" si="6"/>
        <v>8.0000000000000002E-3</v>
      </c>
      <c r="D10" s="1">
        <f t="shared" si="2"/>
        <v>0.11600000000000002</v>
      </c>
      <c r="E10" s="1">
        <f t="shared" si="3"/>
        <v>6.0000000000000001E-3</v>
      </c>
      <c r="F10" s="1">
        <f t="shared" si="4"/>
        <v>6.0000000000000001E-3</v>
      </c>
      <c r="G10" s="5">
        <f>AVERAGE(N10,U10,AB10,AI10,AP10)</f>
        <v>0.80199999999999994</v>
      </c>
      <c r="I10">
        <v>0</v>
      </c>
      <c r="J10">
        <v>0.02</v>
      </c>
      <c r="K10">
        <v>0.22</v>
      </c>
      <c r="L10">
        <v>0.01</v>
      </c>
      <c r="M10">
        <v>0</v>
      </c>
      <c r="N10">
        <v>0.75</v>
      </c>
      <c r="P10">
        <v>0</v>
      </c>
      <c r="Q10">
        <v>0.01</v>
      </c>
      <c r="R10">
        <v>0.3</v>
      </c>
      <c r="S10">
        <v>0</v>
      </c>
      <c r="T10">
        <v>0</v>
      </c>
      <c r="U10">
        <v>0.69</v>
      </c>
      <c r="W10">
        <v>0.19</v>
      </c>
      <c r="X10">
        <v>0</v>
      </c>
      <c r="Y10">
        <v>0</v>
      </c>
      <c r="Z10">
        <v>0</v>
      </c>
      <c r="AA10">
        <v>0</v>
      </c>
      <c r="AB10">
        <v>0.81</v>
      </c>
      <c r="AD10">
        <v>0.11</v>
      </c>
      <c r="AE10">
        <v>0</v>
      </c>
      <c r="AF10">
        <v>0</v>
      </c>
      <c r="AG10">
        <v>0.01</v>
      </c>
      <c r="AH10">
        <v>0.02</v>
      </c>
      <c r="AI10">
        <v>0.87</v>
      </c>
      <c r="AK10">
        <v>0.02</v>
      </c>
      <c r="AL10">
        <v>0.01</v>
      </c>
      <c r="AM10">
        <v>0.06</v>
      </c>
      <c r="AN10">
        <v>0.01</v>
      </c>
      <c r="AO10">
        <v>0.01</v>
      </c>
      <c r="AP10">
        <v>0.89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A12">
        <f>AVERAGE(I12,P12,W12,AD12,AK12)</f>
        <v>0.72800000000000009</v>
      </c>
      <c r="B12" s="5">
        <f>AVERAGE(I12,P12,W12,AD12,AK12)</f>
        <v>0.72800000000000009</v>
      </c>
      <c r="C12" s="1"/>
      <c r="D12" s="1"/>
      <c r="E12" s="1"/>
      <c r="F12" s="1"/>
      <c r="G12" s="1"/>
      <c r="I12">
        <v>0.68</v>
      </c>
      <c r="P12">
        <v>0.66</v>
      </c>
      <c r="W12">
        <v>0.73</v>
      </c>
      <c r="AD12">
        <v>0.77</v>
      </c>
      <c r="AK12">
        <v>0.8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s="1"/>
      <c r="C15" s="1"/>
      <c r="D15" s="1"/>
      <c r="E15" s="1"/>
      <c r="F15" s="1"/>
      <c r="G15" s="1"/>
    </row>
    <row r="16" spans="1:42" x14ac:dyDescent="0.25">
      <c r="B16" s="5">
        <f>AVERAGE(I16,P16,W16,AD16,AK16)</f>
        <v>0.58399999999999996</v>
      </c>
      <c r="C16" s="1">
        <f t="shared" si="6"/>
        <v>0</v>
      </c>
      <c r="D16" s="1">
        <f t="shared" si="2"/>
        <v>0.254</v>
      </c>
      <c r="E16" s="1">
        <f t="shared" si="3"/>
        <v>3.3999999999999996E-2</v>
      </c>
      <c r="F16" s="1">
        <f t="shared" si="4"/>
        <v>0.02</v>
      </c>
      <c r="G16" s="1">
        <f t="shared" si="5"/>
        <v>0.10800000000000001</v>
      </c>
      <c r="I16">
        <v>0.57999999999999996</v>
      </c>
      <c r="J16">
        <v>0</v>
      </c>
      <c r="K16">
        <v>0.42</v>
      </c>
      <c r="L16">
        <v>0</v>
      </c>
      <c r="M16">
        <v>0</v>
      </c>
      <c r="N16">
        <v>0</v>
      </c>
      <c r="P16">
        <v>0.38</v>
      </c>
      <c r="Q16">
        <v>0</v>
      </c>
      <c r="R16">
        <v>0.44</v>
      </c>
      <c r="S16">
        <v>0.06</v>
      </c>
      <c r="T16">
        <v>0.06</v>
      </c>
      <c r="U16">
        <v>0.06</v>
      </c>
      <c r="W16">
        <v>0.75</v>
      </c>
      <c r="X16">
        <v>0</v>
      </c>
      <c r="Y16">
        <v>0</v>
      </c>
      <c r="Z16">
        <v>0</v>
      </c>
      <c r="AA16">
        <v>0.04</v>
      </c>
      <c r="AB16">
        <v>0.21</v>
      </c>
      <c r="AD16">
        <v>0.71</v>
      </c>
      <c r="AE16">
        <v>0</v>
      </c>
      <c r="AF16">
        <v>0.1</v>
      </c>
      <c r="AG16">
        <v>0.05</v>
      </c>
      <c r="AH16">
        <v>0</v>
      </c>
      <c r="AI16">
        <v>0.14000000000000001</v>
      </c>
      <c r="AK16">
        <v>0.5</v>
      </c>
      <c r="AL16">
        <v>0</v>
      </c>
      <c r="AM16">
        <v>0.31</v>
      </c>
      <c r="AN16">
        <v>0.06</v>
      </c>
      <c r="AO16">
        <v>0</v>
      </c>
      <c r="AP16">
        <v>0.13</v>
      </c>
    </row>
    <row r="17" spans="1:42" x14ac:dyDescent="0.25">
      <c r="B17" s="1">
        <f t="shared" si="1"/>
        <v>6.4000000000000001E-2</v>
      </c>
      <c r="C17" s="5">
        <f>AVERAGE(J17,Q17,X17,AE17,AL17)</f>
        <v>0.752</v>
      </c>
      <c r="D17" s="1">
        <f t="shared" si="2"/>
        <v>0.156</v>
      </c>
      <c r="E17" s="1">
        <f t="shared" si="3"/>
        <v>0</v>
      </c>
      <c r="F17" s="1">
        <f t="shared" si="4"/>
        <v>2.6000000000000002E-2</v>
      </c>
      <c r="G17" s="1">
        <f t="shared" si="5"/>
        <v>0</v>
      </c>
      <c r="I17">
        <v>0</v>
      </c>
      <c r="J17">
        <v>0.61</v>
      </c>
      <c r="K17">
        <v>0.39</v>
      </c>
      <c r="L17">
        <v>0</v>
      </c>
      <c r="M17">
        <v>0</v>
      </c>
      <c r="N17">
        <v>0</v>
      </c>
      <c r="P17">
        <v>0</v>
      </c>
      <c r="Q17">
        <v>0.71</v>
      </c>
      <c r="R17">
        <v>0.21</v>
      </c>
      <c r="S17">
        <v>0</v>
      </c>
      <c r="T17">
        <v>7.0000000000000007E-2</v>
      </c>
      <c r="U17">
        <v>0</v>
      </c>
      <c r="W17">
        <v>0.25</v>
      </c>
      <c r="X17">
        <v>0.67</v>
      </c>
      <c r="Y17">
        <v>0.08</v>
      </c>
      <c r="Z17">
        <v>0</v>
      </c>
      <c r="AA17">
        <v>0</v>
      </c>
      <c r="AB17">
        <v>0</v>
      </c>
      <c r="AD17">
        <v>7.0000000000000007E-2</v>
      </c>
      <c r="AE17">
        <v>0.83</v>
      </c>
      <c r="AF17">
        <v>7.0000000000000007E-2</v>
      </c>
      <c r="AG17">
        <v>0</v>
      </c>
      <c r="AH17">
        <v>0.03</v>
      </c>
      <c r="AI17">
        <v>0</v>
      </c>
      <c r="AK17">
        <v>0</v>
      </c>
      <c r="AL17">
        <v>0.94</v>
      </c>
      <c r="AM17">
        <v>0.03</v>
      </c>
      <c r="AN17">
        <v>0</v>
      </c>
      <c r="AO17">
        <v>0.03</v>
      </c>
      <c r="AP17">
        <v>0</v>
      </c>
    </row>
    <row r="18" spans="1:42" x14ac:dyDescent="0.25">
      <c r="B18" s="1">
        <f t="shared" si="1"/>
        <v>0.13999999999999999</v>
      </c>
      <c r="C18" s="1">
        <f t="shared" si="6"/>
        <v>0.20600000000000002</v>
      </c>
      <c r="D18" s="5">
        <f>AVERAGE(K18,R18,Y18,AF18,AM18)</f>
        <v>0.53</v>
      </c>
      <c r="E18" s="1">
        <f t="shared" si="3"/>
        <v>5.4000000000000006E-2</v>
      </c>
      <c r="F18" s="1">
        <f t="shared" si="4"/>
        <v>3.3999999999999996E-2</v>
      </c>
      <c r="G18" s="1">
        <f t="shared" si="5"/>
        <v>3.5999999999999997E-2</v>
      </c>
      <c r="I18">
        <v>0</v>
      </c>
      <c r="J18">
        <v>0.13</v>
      </c>
      <c r="K18">
        <v>0.78</v>
      </c>
      <c r="L18">
        <v>0.09</v>
      </c>
      <c r="M18">
        <v>0</v>
      </c>
      <c r="N18">
        <v>0</v>
      </c>
      <c r="P18">
        <v>0</v>
      </c>
      <c r="Q18">
        <v>0.08</v>
      </c>
      <c r="R18">
        <v>0.92</v>
      </c>
      <c r="S18">
        <v>0</v>
      </c>
      <c r="T18">
        <v>0</v>
      </c>
      <c r="U18">
        <v>0</v>
      </c>
      <c r="W18">
        <v>0.3</v>
      </c>
      <c r="X18">
        <v>0.5</v>
      </c>
      <c r="Y18">
        <v>0</v>
      </c>
      <c r="Z18">
        <v>0.1</v>
      </c>
      <c r="AA18">
        <v>0</v>
      </c>
      <c r="AB18">
        <v>0.1</v>
      </c>
      <c r="AD18">
        <v>0.36</v>
      </c>
      <c r="AE18">
        <v>0.09</v>
      </c>
      <c r="AF18">
        <v>0.45</v>
      </c>
      <c r="AG18">
        <v>0</v>
      </c>
      <c r="AH18">
        <v>0.09</v>
      </c>
      <c r="AI18">
        <v>0</v>
      </c>
      <c r="AK18">
        <v>0.04</v>
      </c>
      <c r="AL18">
        <v>0.23</v>
      </c>
      <c r="AM18">
        <v>0.5</v>
      </c>
      <c r="AN18">
        <v>0.08</v>
      </c>
      <c r="AO18">
        <v>0.08</v>
      </c>
      <c r="AP18">
        <v>0.08</v>
      </c>
    </row>
    <row r="19" spans="1:42" x14ac:dyDescent="0.25">
      <c r="B19" s="1">
        <f t="shared" si="1"/>
        <v>0.16</v>
      </c>
      <c r="C19" s="1">
        <f t="shared" si="6"/>
        <v>6.7999999999999991E-2</v>
      </c>
      <c r="D19" s="1">
        <f t="shared" si="2"/>
        <v>0.316</v>
      </c>
      <c r="E19" s="5">
        <f>AVERAGE(L19,S19,Z19,AG19,AN19)</f>
        <v>0.41600000000000004</v>
      </c>
      <c r="F19" s="1">
        <f t="shared" si="4"/>
        <v>1.4000000000000002E-2</v>
      </c>
      <c r="G19" s="1">
        <f t="shared" si="5"/>
        <v>0.03</v>
      </c>
      <c r="I19">
        <v>0.06</v>
      </c>
      <c r="J19">
        <v>0.08</v>
      </c>
      <c r="K19">
        <v>0.53</v>
      </c>
      <c r="L19">
        <v>0.32</v>
      </c>
      <c r="M19">
        <v>0</v>
      </c>
      <c r="N19">
        <v>0.02</v>
      </c>
      <c r="P19">
        <v>0.06</v>
      </c>
      <c r="Q19">
        <v>0.03</v>
      </c>
      <c r="R19">
        <v>0.68</v>
      </c>
      <c r="S19">
        <v>0.22</v>
      </c>
      <c r="T19">
        <v>0.01</v>
      </c>
      <c r="U19">
        <v>0.01</v>
      </c>
      <c r="W19">
        <v>0.39</v>
      </c>
      <c r="X19">
        <v>0.08</v>
      </c>
      <c r="Y19">
        <v>0.03</v>
      </c>
      <c r="Z19">
        <v>0.46</v>
      </c>
      <c r="AA19">
        <v>0.02</v>
      </c>
      <c r="AB19">
        <v>0.02</v>
      </c>
      <c r="AD19">
        <v>0.25</v>
      </c>
      <c r="AE19">
        <v>0.05</v>
      </c>
      <c r="AF19">
        <v>0.1</v>
      </c>
      <c r="AG19">
        <v>0.52</v>
      </c>
      <c r="AH19">
        <v>0.02</v>
      </c>
      <c r="AI19">
        <v>0.06</v>
      </c>
      <c r="AK19">
        <v>0.04</v>
      </c>
      <c r="AL19">
        <v>0.1</v>
      </c>
      <c r="AM19">
        <v>0.24</v>
      </c>
      <c r="AN19">
        <v>0.56000000000000005</v>
      </c>
      <c r="AO19">
        <v>0.02</v>
      </c>
      <c r="AP19">
        <v>0.04</v>
      </c>
    </row>
    <row r="20" spans="1:42" x14ac:dyDescent="0.25">
      <c r="B20" s="1">
        <f t="shared" si="1"/>
        <v>0.16999999999999998</v>
      </c>
      <c r="C20" s="1">
        <f t="shared" si="6"/>
        <v>0.11799999999999999</v>
      </c>
      <c r="D20" s="1">
        <f t="shared" si="2"/>
        <v>0.38600000000000007</v>
      </c>
      <c r="E20" s="1">
        <f t="shared" si="3"/>
        <v>9.2000000000000012E-2</v>
      </c>
      <c r="F20" s="5">
        <f>AVERAGE(M20,T20,AA20,AH20,AO20)</f>
        <v>9.6000000000000002E-2</v>
      </c>
      <c r="G20" s="1">
        <f t="shared" si="5"/>
        <v>0.13799999999999998</v>
      </c>
      <c r="I20">
        <v>0.04</v>
      </c>
      <c r="J20">
        <v>0.13</v>
      </c>
      <c r="K20">
        <v>0.63</v>
      </c>
      <c r="L20">
        <v>0.06</v>
      </c>
      <c r="M20">
        <v>0.04</v>
      </c>
      <c r="N20">
        <v>0.11</v>
      </c>
      <c r="P20">
        <v>0.01</v>
      </c>
      <c r="Q20">
        <v>0.08</v>
      </c>
      <c r="R20">
        <v>0.78</v>
      </c>
      <c r="S20">
        <v>0</v>
      </c>
      <c r="T20">
        <v>0.04</v>
      </c>
      <c r="U20">
        <v>0.08</v>
      </c>
      <c r="W20">
        <v>0.43</v>
      </c>
      <c r="X20">
        <v>0.15</v>
      </c>
      <c r="Y20">
        <v>0.1</v>
      </c>
      <c r="Z20">
        <v>0.1</v>
      </c>
      <c r="AA20">
        <v>0.04</v>
      </c>
      <c r="AB20">
        <v>0.18</v>
      </c>
      <c r="AD20">
        <v>0.28000000000000003</v>
      </c>
      <c r="AE20">
        <v>0.13</v>
      </c>
      <c r="AF20">
        <v>0.11</v>
      </c>
      <c r="AG20">
        <v>0.13</v>
      </c>
      <c r="AH20">
        <v>0.21</v>
      </c>
      <c r="AI20">
        <v>0.14000000000000001</v>
      </c>
      <c r="AK20">
        <v>0.09</v>
      </c>
      <c r="AL20">
        <v>0.1</v>
      </c>
      <c r="AM20">
        <v>0.31</v>
      </c>
      <c r="AN20">
        <v>0.17</v>
      </c>
      <c r="AO20">
        <v>0.15</v>
      </c>
      <c r="AP20">
        <v>0.18</v>
      </c>
    </row>
    <row r="21" spans="1:42" x14ac:dyDescent="0.25">
      <c r="B21" s="1">
        <f t="shared" si="1"/>
        <v>0.21200000000000002</v>
      </c>
      <c r="C21" s="1">
        <f t="shared" si="6"/>
        <v>2.1999999999999999E-2</v>
      </c>
      <c r="D21" s="1">
        <f t="shared" si="2"/>
        <v>0.2</v>
      </c>
      <c r="E21" s="1">
        <f t="shared" si="3"/>
        <v>1.7999999999999999E-2</v>
      </c>
      <c r="F21" s="1">
        <f t="shared" si="4"/>
        <v>2.4E-2</v>
      </c>
      <c r="G21" s="5">
        <f>AVERAGE(N21,U21,AB21,AI21,AP21)</f>
        <v>0.52200000000000002</v>
      </c>
      <c r="I21">
        <v>0</v>
      </c>
      <c r="J21">
        <v>0.04</v>
      </c>
      <c r="K21">
        <v>0.44</v>
      </c>
      <c r="L21">
        <v>0.02</v>
      </c>
      <c r="M21">
        <v>0</v>
      </c>
      <c r="N21">
        <v>0.49</v>
      </c>
      <c r="P21">
        <v>0</v>
      </c>
      <c r="Q21">
        <v>0.02</v>
      </c>
      <c r="R21">
        <v>0.49</v>
      </c>
      <c r="S21">
        <v>0</v>
      </c>
      <c r="T21">
        <v>0.04</v>
      </c>
      <c r="U21">
        <v>0.45</v>
      </c>
      <c r="W21">
        <v>0.51</v>
      </c>
      <c r="X21">
        <v>0</v>
      </c>
      <c r="Y21">
        <v>0</v>
      </c>
      <c r="Z21">
        <v>0</v>
      </c>
      <c r="AA21">
        <v>0</v>
      </c>
      <c r="AB21">
        <v>0.49</v>
      </c>
      <c r="AD21">
        <v>0.4</v>
      </c>
      <c r="AE21">
        <v>0</v>
      </c>
      <c r="AF21">
        <v>0</v>
      </c>
      <c r="AG21">
        <v>0.02</v>
      </c>
      <c r="AH21">
        <v>0.06</v>
      </c>
      <c r="AI21">
        <v>0.52</v>
      </c>
      <c r="AK21">
        <v>0.15</v>
      </c>
      <c r="AL21">
        <v>0.05</v>
      </c>
      <c r="AM21">
        <v>7.0000000000000007E-2</v>
      </c>
      <c r="AN21">
        <v>0.05</v>
      </c>
      <c r="AO21">
        <v>0.02</v>
      </c>
      <c r="AP21">
        <v>0.66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A23" s="1">
        <f>AVERAGE(I23,P23,W23,AD23,AK23)</f>
        <v>0.48200000000000004</v>
      </c>
      <c r="B23" s="5">
        <f>AVERAGE(I23,P23,W23,AD23,AK23)</f>
        <v>0.48200000000000004</v>
      </c>
      <c r="C23" s="1"/>
      <c r="D23" s="1"/>
      <c r="E23" s="1"/>
      <c r="F23" s="1"/>
      <c r="G23" s="1"/>
      <c r="I23">
        <v>0.47</v>
      </c>
      <c r="P23">
        <v>0.45</v>
      </c>
      <c r="W23">
        <v>0.4</v>
      </c>
      <c r="AD23">
        <v>0.54</v>
      </c>
      <c r="AK23">
        <v>0.55000000000000004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04CF9-C173-4081-A767-86E2C18C9977}">
  <sheetPr codeName="Arkusz9"/>
  <dimension ref="A4:AP24"/>
  <sheetViews>
    <sheetView topLeftCell="A4" workbookViewId="0">
      <selection activeCell="G21" sqref="G21"/>
    </sheetView>
  </sheetViews>
  <sheetFormatPr defaultRowHeight="15" x14ac:dyDescent="0.25"/>
  <sheetData>
    <row r="4" spans="1:42" x14ac:dyDescent="0.25">
      <c r="B4" s="1" t="s">
        <v>11</v>
      </c>
      <c r="C4" s="1" t="s">
        <v>12</v>
      </c>
      <c r="D4" s="1" t="s">
        <v>13</v>
      </c>
      <c r="E4" s="1" t="s">
        <v>14</v>
      </c>
      <c r="F4" s="1" t="s">
        <v>15</v>
      </c>
    </row>
    <row r="5" spans="1:42" x14ac:dyDescent="0.25">
      <c r="A5" s="1" t="s">
        <v>11</v>
      </c>
      <c r="B5" s="6">
        <f>AVERAGE(I5,P5,W5,AD5,AK5)</f>
        <v>0.97399999999999998</v>
      </c>
      <c r="C5" s="1">
        <f t="shared" ref="C5:F5" si="0">AVERAGE(J5,Q5,X5,AE5,AL5)</f>
        <v>0</v>
      </c>
      <c r="D5" s="1">
        <f t="shared" si="0"/>
        <v>4.0000000000000001E-3</v>
      </c>
      <c r="E5" s="1">
        <f t="shared" si="0"/>
        <v>0</v>
      </c>
      <c r="F5" s="1">
        <f t="shared" si="0"/>
        <v>1.7999999999999999E-2</v>
      </c>
      <c r="G5" s="1"/>
      <c r="I5">
        <v>0.97</v>
      </c>
      <c r="J5">
        <v>0</v>
      </c>
      <c r="K5">
        <v>0.01</v>
      </c>
      <c r="L5">
        <v>0</v>
      </c>
      <c r="M5">
        <v>0.01</v>
      </c>
      <c r="N5">
        <v>0</v>
      </c>
      <c r="P5">
        <v>0.97</v>
      </c>
      <c r="Q5">
        <v>0</v>
      </c>
      <c r="R5">
        <v>0.01</v>
      </c>
      <c r="S5">
        <v>0</v>
      </c>
      <c r="T5">
        <v>0.01</v>
      </c>
      <c r="U5">
        <v>0</v>
      </c>
      <c r="W5">
        <v>0.96</v>
      </c>
      <c r="X5">
        <v>0</v>
      </c>
      <c r="Y5">
        <v>0</v>
      </c>
      <c r="Z5">
        <v>0</v>
      </c>
      <c r="AA5">
        <v>0.04</v>
      </c>
      <c r="AB5">
        <v>0</v>
      </c>
      <c r="AD5">
        <v>1</v>
      </c>
      <c r="AE5">
        <v>0</v>
      </c>
      <c r="AF5">
        <v>0</v>
      </c>
      <c r="AG5">
        <v>0</v>
      </c>
      <c r="AH5">
        <v>0</v>
      </c>
      <c r="AI5">
        <v>0</v>
      </c>
      <c r="AK5">
        <v>0.97</v>
      </c>
      <c r="AL5">
        <v>0</v>
      </c>
      <c r="AM5">
        <v>0</v>
      </c>
      <c r="AN5">
        <v>0</v>
      </c>
      <c r="AO5">
        <v>0.03</v>
      </c>
      <c r="AP5">
        <v>0</v>
      </c>
    </row>
    <row r="6" spans="1:42" x14ac:dyDescent="0.25">
      <c r="A6" s="1" t="s">
        <v>12</v>
      </c>
      <c r="B6" s="1">
        <f t="shared" ref="B6:B9" si="1">AVERAGE(I6,P6,W6,AD6,AK6)</f>
        <v>0</v>
      </c>
      <c r="C6" s="6">
        <f>AVERAGE(J6,Q6,X6,AE6,AL6)</f>
        <v>0.97599999999999976</v>
      </c>
      <c r="D6" s="1">
        <f t="shared" ref="D6:D9" si="2">AVERAGE(K6,R6,Y6,AF6,AM6)</f>
        <v>1.4000000000000002E-2</v>
      </c>
      <c r="E6" s="1">
        <f t="shared" ref="E6:E9" si="3">AVERAGE(L6,S6,Z6,AG6,AN6)</f>
        <v>0.01</v>
      </c>
      <c r="F6" s="1">
        <f t="shared" ref="F6:F8" si="4">AVERAGE(M6,T6,AA6,AH6,AO6)</f>
        <v>0</v>
      </c>
      <c r="G6" s="1"/>
      <c r="I6">
        <v>0</v>
      </c>
      <c r="J6">
        <v>0.96</v>
      </c>
      <c r="K6">
        <v>0.04</v>
      </c>
      <c r="L6">
        <v>0</v>
      </c>
      <c r="M6">
        <v>0</v>
      </c>
      <c r="N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W6">
        <v>0</v>
      </c>
      <c r="X6">
        <v>0.97</v>
      </c>
      <c r="Y6">
        <v>0.01</v>
      </c>
      <c r="Z6">
        <v>0.01</v>
      </c>
      <c r="AA6">
        <v>0</v>
      </c>
      <c r="AB6">
        <v>0</v>
      </c>
      <c r="AD6">
        <v>0</v>
      </c>
      <c r="AE6">
        <v>0.97</v>
      </c>
      <c r="AF6">
        <v>0.02</v>
      </c>
      <c r="AG6">
        <v>0.02</v>
      </c>
      <c r="AH6">
        <v>0</v>
      </c>
      <c r="AI6">
        <v>0</v>
      </c>
      <c r="AK6">
        <v>0</v>
      </c>
      <c r="AL6">
        <v>0.98</v>
      </c>
      <c r="AM6">
        <v>0</v>
      </c>
      <c r="AN6">
        <v>0.02</v>
      </c>
      <c r="AO6">
        <v>0</v>
      </c>
      <c r="AP6">
        <v>0</v>
      </c>
    </row>
    <row r="7" spans="1:42" x14ac:dyDescent="0.25">
      <c r="A7" s="1" t="s">
        <v>13</v>
      </c>
      <c r="B7" s="1">
        <f t="shared" si="1"/>
        <v>2E-3</v>
      </c>
      <c r="C7" s="1">
        <f t="shared" ref="C7:C9" si="5">AVERAGE(J7,Q7,X7,AE7,AL7)</f>
        <v>1.9999999999999997E-2</v>
      </c>
      <c r="D7" s="6">
        <f>AVERAGE(K7,R7,Y7,AF7,AM7)</f>
        <v>0.95599999999999985</v>
      </c>
      <c r="E7" s="1">
        <f t="shared" si="3"/>
        <v>1.6E-2</v>
      </c>
      <c r="F7" s="1">
        <f t="shared" si="4"/>
        <v>4.0000000000000001E-3</v>
      </c>
      <c r="G7" s="1"/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P7">
        <v>0.01</v>
      </c>
      <c r="Q7">
        <v>0.04</v>
      </c>
      <c r="R7">
        <v>0.92</v>
      </c>
      <c r="S7">
        <v>0.01</v>
      </c>
      <c r="T7">
        <v>0.01</v>
      </c>
      <c r="U7">
        <v>0</v>
      </c>
      <c r="W7">
        <v>0</v>
      </c>
      <c r="X7">
        <v>0.01</v>
      </c>
      <c r="Y7">
        <v>0.96</v>
      </c>
      <c r="Z7">
        <v>0.01</v>
      </c>
      <c r="AA7">
        <v>0.01</v>
      </c>
      <c r="AB7">
        <v>0</v>
      </c>
      <c r="AD7">
        <v>0</v>
      </c>
      <c r="AE7">
        <v>0.04</v>
      </c>
      <c r="AF7">
        <v>0.94</v>
      </c>
      <c r="AG7">
        <v>0.03</v>
      </c>
      <c r="AH7">
        <v>0</v>
      </c>
      <c r="AI7">
        <v>0</v>
      </c>
      <c r="AK7">
        <v>0</v>
      </c>
      <c r="AL7">
        <v>0.01</v>
      </c>
      <c r="AM7">
        <v>0.96</v>
      </c>
      <c r="AN7">
        <v>0.03</v>
      </c>
      <c r="AO7">
        <v>0</v>
      </c>
      <c r="AP7">
        <v>0</v>
      </c>
    </row>
    <row r="8" spans="1:42" x14ac:dyDescent="0.25">
      <c r="A8" s="1" t="s">
        <v>14</v>
      </c>
      <c r="B8" s="1">
        <f t="shared" si="1"/>
        <v>7.3999999999999996E-2</v>
      </c>
      <c r="C8" s="1">
        <f t="shared" si="5"/>
        <v>8.5999999999999993E-2</v>
      </c>
      <c r="D8" s="1">
        <f t="shared" si="2"/>
        <v>8.6000000000000007E-2</v>
      </c>
      <c r="E8" s="6">
        <f>AVERAGE(L8,S8,Z8,AG8,AN8)</f>
        <v>0.68599999999999994</v>
      </c>
      <c r="F8" s="1">
        <f t="shared" si="4"/>
        <v>6.7999999999999991E-2</v>
      </c>
      <c r="G8" s="1"/>
      <c r="I8">
        <v>0.08</v>
      </c>
      <c r="J8">
        <v>7.0000000000000007E-2</v>
      </c>
      <c r="K8">
        <v>0.14000000000000001</v>
      </c>
      <c r="L8">
        <v>0.66</v>
      </c>
      <c r="M8">
        <v>0.05</v>
      </c>
      <c r="N8">
        <v>0</v>
      </c>
      <c r="P8">
        <v>0.08</v>
      </c>
      <c r="Q8">
        <v>0.06</v>
      </c>
      <c r="R8">
        <v>7.0000000000000007E-2</v>
      </c>
      <c r="S8">
        <v>0.72</v>
      </c>
      <c r="T8">
        <v>0.06</v>
      </c>
      <c r="U8">
        <v>0</v>
      </c>
      <c r="W8">
        <v>7.0000000000000007E-2</v>
      </c>
      <c r="X8">
        <v>0.12</v>
      </c>
      <c r="Y8">
        <v>0.09</v>
      </c>
      <c r="Z8">
        <v>0.65</v>
      </c>
      <c r="AA8">
        <v>0.08</v>
      </c>
      <c r="AB8">
        <v>0</v>
      </c>
      <c r="AD8">
        <v>0.08</v>
      </c>
      <c r="AE8">
        <v>0.09</v>
      </c>
      <c r="AF8">
        <v>0.06</v>
      </c>
      <c r="AG8">
        <v>0.71</v>
      </c>
      <c r="AH8">
        <v>0.06</v>
      </c>
      <c r="AI8">
        <v>0</v>
      </c>
      <c r="AK8">
        <v>0.06</v>
      </c>
      <c r="AL8">
        <v>0.09</v>
      </c>
      <c r="AM8">
        <v>7.0000000000000007E-2</v>
      </c>
      <c r="AN8">
        <v>0.69</v>
      </c>
      <c r="AO8">
        <v>0.09</v>
      </c>
      <c r="AP8">
        <v>0</v>
      </c>
    </row>
    <row r="9" spans="1:42" x14ac:dyDescent="0.25">
      <c r="A9" s="1" t="s">
        <v>15</v>
      </c>
      <c r="B9" s="1">
        <f t="shared" si="1"/>
        <v>0.03</v>
      </c>
      <c r="C9" s="1">
        <f t="shared" si="5"/>
        <v>4.0000000000000001E-3</v>
      </c>
      <c r="D9" s="1">
        <f t="shared" si="2"/>
        <v>2.1999999999999999E-2</v>
      </c>
      <c r="E9" s="1">
        <f t="shared" si="3"/>
        <v>6.0000000000000001E-3</v>
      </c>
      <c r="F9" s="6">
        <f>AVERAGE(M9,T9,AA9,AH9,AO9)</f>
        <v>0.93800000000000006</v>
      </c>
      <c r="G9" s="1"/>
      <c r="I9">
        <v>0.02</v>
      </c>
      <c r="J9">
        <v>0.01</v>
      </c>
      <c r="K9">
        <v>7.0000000000000007E-2</v>
      </c>
      <c r="L9">
        <v>0.01</v>
      </c>
      <c r="M9">
        <v>0.89</v>
      </c>
      <c r="N9">
        <v>0</v>
      </c>
      <c r="P9">
        <v>0</v>
      </c>
      <c r="Q9">
        <v>0</v>
      </c>
      <c r="R9">
        <v>0.02</v>
      </c>
      <c r="S9">
        <v>0.01</v>
      </c>
      <c r="T9">
        <v>0.97</v>
      </c>
      <c r="U9">
        <v>0</v>
      </c>
      <c r="W9">
        <v>0.06</v>
      </c>
      <c r="X9">
        <v>0.01</v>
      </c>
      <c r="Y9">
        <v>0</v>
      </c>
      <c r="Z9">
        <v>0</v>
      </c>
      <c r="AA9">
        <v>0.93</v>
      </c>
      <c r="AB9">
        <v>0</v>
      </c>
      <c r="AD9">
        <v>0.04</v>
      </c>
      <c r="AE9">
        <v>0</v>
      </c>
      <c r="AF9">
        <v>0.01</v>
      </c>
      <c r="AG9">
        <v>0</v>
      </c>
      <c r="AH9">
        <v>0.95</v>
      </c>
      <c r="AI9">
        <v>0</v>
      </c>
      <c r="AK9">
        <v>0.03</v>
      </c>
      <c r="AL9">
        <v>0</v>
      </c>
      <c r="AM9">
        <v>0.01</v>
      </c>
      <c r="AN9">
        <v>0.01</v>
      </c>
      <c r="AO9">
        <v>0.95</v>
      </c>
      <c r="AP9">
        <v>0</v>
      </c>
    </row>
    <row r="10" spans="1:42" x14ac:dyDescent="0.25">
      <c r="B10" s="1"/>
      <c r="C10" s="1"/>
      <c r="D10" s="1"/>
      <c r="E10" s="1"/>
      <c r="F10" s="1"/>
      <c r="G10" s="1"/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6">
        <f>AVERAGE(I12,P12,W12,AD12,AK12)</f>
        <v>0.90600000000000003</v>
      </c>
      <c r="C12" s="1"/>
      <c r="D12" s="1"/>
      <c r="E12" s="1"/>
      <c r="F12" s="1"/>
      <c r="G12" s="1"/>
      <c r="I12">
        <v>0.9</v>
      </c>
      <c r="P12">
        <v>0.92</v>
      </c>
      <c r="W12">
        <v>0.89</v>
      </c>
      <c r="AD12">
        <v>0.91</v>
      </c>
      <c r="AK12">
        <v>0.91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s="1" t="s">
        <v>11</v>
      </c>
      <c r="C15" s="1" t="s">
        <v>12</v>
      </c>
      <c r="D15" s="1" t="s">
        <v>13</v>
      </c>
      <c r="E15" s="1" t="s">
        <v>14</v>
      </c>
      <c r="F15" s="1" t="s">
        <v>15</v>
      </c>
      <c r="G15" s="1"/>
    </row>
    <row r="16" spans="1:42" x14ac:dyDescent="0.25">
      <c r="A16" s="1" t="s">
        <v>11</v>
      </c>
      <c r="B16" s="6">
        <f>AVERAGE(I16,P16,W16,AD16,AK16)</f>
        <v>0.6379999999999999</v>
      </c>
      <c r="C16" s="1">
        <f t="shared" ref="C16:C20" si="6">AVERAGE(J16,Q16,X16,AE16,AL16)</f>
        <v>3.5999999999999997E-2</v>
      </c>
      <c r="D16" s="1">
        <f t="shared" ref="D16:D20" si="7">AVERAGE(K16,R16,Y16,AF16,AM16)</f>
        <v>5.6000000000000008E-2</v>
      </c>
      <c r="E16" s="1">
        <f t="shared" ref="E16:E20" si="8">AVERAGE(L16,S16,Z16,AG16,AN16)</f>
        <v>6.7999999999999991E-2</v>
      </c>
      <c r="F16" s="1">
        <f t="shared" ref="F16:F19" si="9">AVERAGE(M16,T16,AA16,AH16,AO16)</f>
        <v>0.20800000000000002</v>
      </c>
      <c r="G16" s="1"/>
      <c r="I16">
        <v>0.79</v>
      </c>
      <c r="J16">
        <v>0</v>
      </c>
      <c r="K16">
        <v>0</v>
      </c>
      <c r="L16">
        <v>0.11</v>
      </c>
      <c r="M16">
        <v>0.11</v>
      </c>
      <c r="N16">
        <v>0</v>
      </c>
      <c r="P16">
        <v>0.61</v>
      </c>
      <c r="Q16">
        <v>0.06</v>
      </c>
      <c r="R16">
        <v>0</v>
      </c>
      <c r="S16">
        <v>0.06</v>
      </c>
      <c r="T16">
        <v>0.28000000000000003</v>
      </c>
      <c r="U16">
        <v>0</v>
      </c>
      <c r="W16">
        <v>0.63</v>
      </c>
      <c r="X16">
        <v>0</v>
      </c>
      <c r="Y16">
        <v>0.16</v>
      </c>
      <c r="Z16">
        <v>0.05</v>
      </c>
      <c r="AA16">
        <v>0.16</v>
      </c>
      <c r="AB16">
        <v>0</v>
      </c>
      <c r="AD16">
        <v>0.69</v>
      </c>
      <c r="AE16">
        <v>0</v>
      </c>
      <c r="AF16">
        <v>0</v>
      </c>
      <c r="AG16">
        <v>0.06</v>
      </c>
      <c r="AH16">
        <v>0.25</v>
      </c>
      <c r="AI16">
        <v>0</v>
      </c>
      <c r="AK16">
        <v>0.47</v>
      </c>
      <c r="AL16">
        <v>0.12</v>
      </c>
      <c r="AM16">
        <v>0.12</v>
      </c>
      <c r="AN16">
        <v>0.06</v>
      </c>
      <c r="AO16">
        <v>0.24</v>
      </c>
      <c r="AP16">
        <v>0</v>
      </c>
    </row>
    <row r="17" spans="1:42" x14ac:dyDescent="0.25">
      <c r="A17" s="1" t="s">
        <v>12</v>
      </c>
      <c r="B17" s="1">
        <f t="shared" ref="B17:B20" si="10">AVERAGE(I17,P17,W17,AD17,AK17)</f>
        <v>2.4E-2</v>
      </c>
      <c r="C17" s="6">
        <f>AVERAGE(J17,Q17,X17,AE17,AL17)</f>
        <v>0.58200000000000007</v>
      </c>
      <c r="D17" s="1">
        <f t="shared" si="7"/>
        <v>0.26599999999999996</v>
      </c>
      <c r="E17" s="1">
        <f t="shared" si="8"/>
        <v>0.11200000000000002</v>
      </c>
      <c r="F17" s="1">
        <f t="shared" si="9"/>
        <v>1.7999999999999999E-2</v>
      </c>
      <c r="G17" s="1"/>
      <c r="I17">
        <v>0</v>
      </c>
      <c r="J17">
        <v>0.53</v>
      </c>
      <c r="K17">
        <v>0.21</v>
      </c>
      <c r="L17">
        <v>0.26</v>
      </c>
      <c r="M17">
        <v>0</v>
      </c>
      <c r="N17">
        <v>0</v>
      </c>
      <c r="P17">
        <v>0.04</v>
      </c>
      <c r="Q17">
        <v>0.56999999999999995</v>
      </c>
      <c r="R17">
        <v>0.26</v>
      </c>
      <c r="S17">
        <v>0.04</v>
      </c>
      <c r="T17">
        <v>0.09</v>
      </c>
      <c r="U17">
        <v>0</v>
      </c>
      <c r="W17">
        <v>0</v>
      </c>
      <c r="X17">
        <v>0.8</v>
      </c>
      <c r="Y17">
        <v>0.2</v>
      </c>
      <c r="Z17">
        <v>0</v>
      </c>
      <c r="AA17">
        <v>0</v>
      </c>
      <c r="AB17">
        <v>0</v>
      </c>
      <c r="AD17">
        <v>0.08</v>
      </c>
      <c r="AE17">
        <v>0.42</v>
      </c>
      <c r="AF17">
        <v>0.42</v>
      </c>
      <c r="AG17">
        <v>0.08</v>
      </c>
      <c r="AH17">
        <v>0</v>
      </c>
      <c r="AI17">
        <v>0</v>
      </c>
      <c r="AK17">
        <v>0</v>
      </c>
      <c r="AL17">
        <v>0.59</v>
      </c>
      <c r="AM17">
        <v>0.24</v>
      </c>
      <c r="AN17">
        <v>0.18</v>
      </c>
      <c r="AO17">
        <v>0</v>
      </c>
      <c r="AP17">
        <v>0</v>
      </c>
    </row>
    <row r="18" spans="1:42" x14ac:dyDescent="0.25">
      <c r="A18" s="1" t="s">
        <v>13</v>
      </c>
      <c r="B18" s="1">
        <f t="shared" si="10"/>
        <v>0.09</v>
      </c>
      <c r="C18" s="1">
        <f t="shared" si="6"/>
        <v>0.33400000000000002</v>
      </c>
      <c r="D18" s="6">
        <f>AVERAGE(K18,R18,Y18,AF18,AM18)</f>
        <v>0.40600000000000003</v>
      </c>
      <c r="E18" s="1">
        <f t="shared" si="8"/>
        <v>0.13200000000000001</v>
      </c>
      <c r="F18" s="1">
        <f t="shared" si="9"/>
        <v>3.7999999999999999E-2</v>
      </c>
      <c r="G18" s="1"/>
      <c r="I18">
        <v>0.04</v>
      </c>
      <c r="J18">
        <v>0.24</v>
      </c>
      <c r="K18">
        <v>0.56000000000000005</v>
      </c>
      <c r="L18">
        <v>0.16</v>
      </c>
      <c r="M18">
        <v>0</v>
      </c>
      <c r="N18">
        <v>0</v>
      </c>
      <c r="P18">
        <v>0.25</v>
      </c>
      <c r="Q18">
        <v>0.31</v>
      </c>
      <c r="R18">
        <v>0.31</v>
      </c>
      <c r="S18">
        <v>0.13</v>
      </c>
      <c r="T18">
        <v>0</v>
      </c>
      <c r="U18">
        <v>0</v>
      </c>
      <c r="W18">
        <v>0.1</v>
      </c>
      <c r="X18">
        <v>0.33</v>
      </c>
      <c r="Y18">
        <v>0.33</v>
      </c>
      <c r="Z18">
        <v>0.05</v>
      </c>
      <c r="AA18">
        <v>0.19</v>
      </c>
      <c r="AB18">
        <v>0</v>
      </c>
      <c r="AD18">
        <v>0</v>
      </c>
      <c r="AE18">
        <v>0.28999999999999998</v>
      </c>
      <c r="AF18">
        <v>0.5</v>
      </c>
      <c r="AG18">
        <v>0.21</v>
      </c>
      <c r="AH18">
        <v>0</v>
      </c>
      <c r="AI18">
        <v>0</v>
      </c>
      <c r="AK18">
        <v>0.06</v>
      </c>
      <c r="AL18">
        <v>0.5</v>
      </c>
      <c r="AM18">
        <v>0.33</v>
      </c>
      <c r="AN18">
        <v>0.11</v>
      </c>
      <c r="AO18">
        <v>0</v>
      </c>
      <c r="AP18">
        <v>0</v>
      </c>
    </row>
    <row r="19" spans="1:42" x14ac:dyDescent="0.25">
      <c r="A19" s="1" t="s">
        <v>14</v>
      </c>
      <c r="B19" s="1">
        <f t="shared" si="10"/>
        <v>0.09</v>
      </c>
      <c r="C19" s="1">
        <f t="shared" si="6"/>
        <v>0.13799999999999998</v>
      </c>
      <c r="D19" s="1">
        <f t="shared" si="7"/>
        <v>0.13</v>
      </c>
      <c r="E19" s="6">
        <f>AVERAGE(L19,S19,Z19,AG19,AN19)</f>
        <v>0.54200000000000004</v>
      </c>
      <c r="F19" s="1">
        <f t="shared" si="9"/>
        <v>0.10200000000000001</v>
      </c>
      <c r="G19" s="1"/>
      <c r="I19">
        <v>0.08</v>
      </c>
      <c r="J19">
        <v>0.19</v>
      </c>
      <c r="K19">
        <v>0.2</v>
      </c>
      <c r="L19">
        <v>0.44</v>
      </c>
      <c r="M19">
        <v>0.09</v>
      </c>
      <c r="N19">
        <v>0</v>
      </c>
      <c r="P19">
        <v>0.04</v>
      </c>
      <c r="Q19">
        <v>0.16</v>
      </c>
      <c r="R19">
        <v>0.1</v>
      </c>
      <c r="S19">
        <v>0.61</v>
      </c>
      <c r="T19">
        <v>0.1</v>
      </c>
      <c r="U19">
        <v>0</v>
      </c>
      <c r="W19">
        <v>0.08</v>
      </c>
      <c r="X19">
        <v>0.1</v>
      </c>
      <c r="Y19">
        <v>0.12</v>
      </c>
      <c r="Z19">
        <v>0.62</v>
      </c>
      <c r="AA19">
        <v>0.08</v>
      </c>
      <c r="AB19">
        <v>0</v>
      </c>
      <c r="AD19">
        <v>0.18</v>
      </c>
      <c r="AE19">
        <v>0.09</v>
      </c>
      <c r="AF19">
        <v>0.12</v>
      </c>
      <c r="AG19">
        <v>0.48</v>
      </c>
      <c r="AH19">
        <v>0.13</v>
      </c>
      <c r="AI19">
        <v>0</v>
      </c>
      <c r="AK19">
        <v>7.0000000000000007E-2</v>
      </c>
      <c r="AL19">
        <v>0.15</v>
      </c>
      <c r="AM19">
        <v>0.11</v>
      </c>
      <c r="AN19">
        <v>0.56000000000000005</v>
      </c>
      <c r="AO19">
        <v>0.11</v>
      </c>
      <c r="AP19">
        <v>0</v>
      </c>
    </row>
    <row r="20" spans="1:42" x14ac:dyDescent="0.25">
      <c r="A20" s="1" t="s">
        <v>15</v>
      </c>
      <c r="B20" s="1">
        <f t="shared" si="10"/>
        <v>0.21799999999999997</v>
      </c>
      <c r="C20" s="1">
        <f t="shared" si="6"/>
        <v>6.0000000000000012E-2</v>
      </c>
      <c r="D20" s="1">
        <f t="shared" si="7"/>
        <v>0.122</v>
      </c>
      <c r="E20" s="1">
        <f t="shared" si="8"/>
        <v>0.09</v>
      </c>
      <c r="F20" s="6">
        <f>AVERAGE(M20,T20,AA20,AH20,AO20)</f>
        <v>0.51400000000000001</v>
      </c>
      <c r="G20" s="1"/>
      <c r="I20">
        <v>0.24</v>
      </c>
      <c r="J20">
        <v>0.05</v>
      </c>
      <c r="K20">
        <v>0.14000000000000001</v>
      </c>
      <c r="L20">
        <v>0.05</v>
      </c>
      <c r="M20">
        <v>0.52</v>
      </c>
      <c r="N20">
        <v>0</v>
      </c>
      <c r="P20">
        <v>0.1</v>
      </c>
      <c r="Q20">
        <v>0</v>
      </c>
      <c r="R20">
        <v>0.15</v>
      </c>
      <c r="S20">
        <v>0.1</v>
      </c>
      <c r="T20">
        <v>0.65</v>
      </c>
      <c r="U20">
        <v>0</v>
      </c>
      <c r="W20">
        <v>0.21</v>
      </c>
      <c r="X20">
        <v>0.04</v>
      </c>
      <c r="Y20">
        <v>0.04</v>
      </c>
      <c r="Z20">
        <v>0</v>
      </c>
      <c r="AA20">
        <v>0.71</v>
      </c>
      <c r="AB20">
        <v>0</v>
      </c>
      <c r="AD20">
        <v>0.37</v>
      </c>
      <c r="AE20">
        <v>0.04</v>
      </c>
      <c r="AF20">
        <v>0.11</v>
      </c>
      <c r="AG20">
        <v>0.19</v>
      </c>
      <c r="AH20">
        <v>0.3</v>
      </c>
      <c r="AI20">
        <v>0</v>
      </c>
      <c r="AK20">
        <v>0.17</v>
      </c>
      <c r="AL20">
        <v>0.17</v>
      </c>
      <c r="AM20">
        <v>0.17</v>
      </c>
      <c r="AN20">
        <v>0.11</v>
      </c>
      <c r="AO20">
        <v>0.39</v>
      </c>
      <c r="AP20">
        <v>0</v>
      </c>
    </row>
    <row r="21" spans="1:42" x14ac:dyDescent="0.25">
      <c r="B21" s="1"/>
      <c r="C21" s="1"/>
      <c r="D21" s="1"/>
      <c r="E21" s="1"/>
      <c r="F21" s="1"/>
      <c r="G21" s="1"/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6">
        <f>AVERAGE(I23,P23,W23,AD23,AK23)</f>
        <v>0.53800000000000003</v>
      </c>
      <c r="C23" s="1"/>
      <c r="D23" s="1"/>
      <c r="E23" s="1"/>
      <c r="F23" s="1"/>
      <c r="G23" s="1"/>
      <c r="I23">
        <v>0.56999999999999995</v>
      </c>
      <c r="P23">
        <v>0.55000000000000004</v>
      </c>
      <c r="W23">
        <v>0.62</v>
      </c>
      <c r="AD23">
        <v>0.48</v>
      </c>
      <c r="AK23">
        <v>0.47</v>
      </c>
    </row>
    <row r="24" spans="1:42" x14ac:dyDescent="0.25">
      <c r="G24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86E97-776B-4370-92DE-CB363A795DFB}">
  <sheetPr codeName="Arkusz7"/>
  <dimension ref="B1:BS23"/>
  <sheetViews>
    <sheetView topLeftCell="A4" workbookViewId="0">
      <selection activeCell="D19" sqref="D19"/>
    </sheetView>
  </sheetViews>
  <sheetFormatPr defaultRowHeight="15" x14ac:dyDescent="0.25"/>
  <cols>
    <col min="2" max="2" width="9.5703125" bestFit="1" customWidth="1"/>
  </cols>
  <sheetData>
    <row r="1" spans="2:71" x14ac:dyDescent="0.25"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</row>
    <row r="2" spans="2:71" x14ac:dyDescent="0.25"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</row>
    <row r="3" spans="2:71" x14ac:dyDescent="0.25"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</row>
    <row r="4" spans="2:71" x14ac:dyDescent="0.25"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</row>
    <row r="5" spans="2:71" x14ac:dyDescent="0.25">
      <c r="B5" s="6">
        <f>AVERAGE(I5,P5,W5,AD5,AK5,AS5,AZ5,BG5,BN5)</f>
        <v>0.9833333333333335</v>
      </c>
      <c r="C5">
        <f t="shared" ref="C5:G5" si="0">AVERAGE(J5,Q5,X5,AE5,AL5)</f>
        <v>0</v>
      </c>
      <c r="D5">
        <f t="shared" si="0"/>
        <v>0</v>
      </c>
      <c r="E5">
        <f t="shared" si="0"/>
        <v>0</v>
      </c>
      <c r="F5">
        <f t="shared" si="0"/>
        <v>0</v>
      </c>
      <c r="G5">
        <f t="shared" si="0"/>
        <v>1.6E-2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P5">
        <v>0.98</v>
      </c>
      <c r="Q5">
        <v>0</v>
      </c>
      <c r="R5">
        <v>0</v>
      </c>
      <c r="S5">
        <v>0</v>
      </c>
      <c r="T5">
        <v>0</v>
      </c>
      <c r="U5">
        <v>0.02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D5">
        <v>0.97</v>
      </c>
      <c r="AE5">
        <v>0</v>
      </c>
      <c r="AF5">
        <v>0</v>
      </c>
      <c r="AG5">
        <v>0</v>
      </c>
      <c r="AH5">
        <v>0</v>
      </c>
      <c r="AI5">
        <v>0.03</v>
      </c>
      <c r="AK5">
        <v>0.97</v>
      </c>
      <c r="AL5">
        <v>0</v>
      </c>
      <c r="AM5">
        <v>0</v>
      </c>
      <c r="AN5">
        <v>0</v>
      </c>
      <c r="AO5">
        <v>0</v>
      </c>
      <c r="AP5">
        <v>0.03</v>
      </c>
      <c r="AQ5">
        <v>0.01</v>
      </c>
      <c r="AS5">
        <v>0.99</v>
      </c>
      <c r="AT5">
        <v>0</v>
      </c>
      <c r="AU5">
        <v>0</v>
      </c>
      <c r="AV5">
        <v>0</v>
      </c>
      <c r="AW5">
        <v>0.01</v>
      </c>
      <c r="AX5">
        <v>0</v>
      </c>
      <c r="AZ5">
        <v>0.98</v>
      </c>
      <c r="BA5">
        <v>0.01</v>
      </c>
      <c r="BB5">
        <v>0</v>
      </c>
      <c r="BC5">
        <v>0</v>
      </c>
      <c r="BD5">
        <v>0</v>
      </c>
      <c r="BE5">
        <v>0.01</v>
      </c>
      <c r="BG5">
        <v>0.96</v>
      </c>
      <c r="BH5">
        <v>0</v>
      </c>
      <c r="BI5">
        <v>0</v>
      </c>
      <c r="BJ5">
        <v>0</v>
      </c>
      <c r="BK5">
        <v>0</v>
      </c>
      <c r="BL5">
        <v>0.04</v>
      </c>
      <c r="BN5">
        <v>1</v>
      </c>
      <c r="BO5">
        <v>0</v>
      </c>
      <c r="BP5">
        <v>0</v>
      </c>
      <c r="BQ5">
        <v>0</v>
      </c>
      <c r="BR5">
        <v>0</v>
      </c>
      <c r="BS5">
        <v>0</v>
      </c>
    </row>
    <row r="6" spans="2:71" x14ac:dyDescent="0.25">
      <c r="B6">
        <f>AVERAGE(I6,P6,W6,AD6,AK6,AS6,AZ6,BG6,BN6)</f>
        <v>0</v>
      </c>
      <c r="C6" s="6">
        <f>AVERAGE(J6,Q6,X6,AE6,AL6,AT6,BA6,BH6,BO6)</f>
        <v>0.98111111111111116</v>
      </c>
      <c r="D6">
        <f t="shared" ref="D6:D10" si="1">AVERAGE(K6,R6,Y6,AF6,AM6)</f>
        <v>4.0000000000000001E-3</v>
      </c>
      <c r="E6">
        <f t="shared" ref="E6:E10" si="2">AVERAGE(L6,S6,Z6,AG6,AN6)</f>
        <v>0.01</v>
      </c>
      <c r="F6">
        <f t="shared" ref="F6:F10" si="3">AVERAGE(M6,T6,AA6,AH6,AO6)</f>
        <v>2E-3</v>
      </c>
      <c r="G6">
        <f t="shared" ref="G6:G9" si="4">AVERAGE(N6,U6,AB6,AI6,AP6)</f>
        <v>2E-3</v>
      </c>
      <c r="I6">
        <v>0</v>
      </c>
      <c r="J6">
        <v>0.99</v>
      </c>
      <c r="K6">
        <v>0</v>
      </c>
      <c r="L6">
        <v>0</v>
      </c>
      <c r="M6">
        <v>0</v>
      </c>
      <c r="N6">
        <v>0.01</v>
      </c>
      <c r="P6">
        <v>0</v>
      </c>
      <c r="Q6">
        <v>0.98</v>
      </c>
      <c r="R6">
        <v>0</v>
      </c>
      <c r="S6">
        <v>0.02</v>
      </c>
      <c r="T6">
        <v>0</v>
      </c>
      <c r="U6">
        <v>0</v>
      </c>
      <c r="W6">
        <v>0</v>
      </c>
      <c r="X6">
        <v>0.99</v>
      </c>
      <c r="Y6">
        <v>0.01</v>
      </c>
      <c r="Z6">
        <v>0</v>
      </c>
      <c r="AA6">
        <v>0</v>
      </c>
      <c r="AB6">
        <v>0</v>
      </c>
      <c r="AD6">
        <v>0</v>
      </c>
      <c r="AE6">
        <v>0.99</v>
      </c>
      <c r="AF6">
        <v>0</v>
      </c>
      <c r="AG6">
        <v>0</v>
      </c>
      <c r="AH6">
        <v>0.01</v>
      </c>
      <c r="AI6">
        <v>0</v>
      </c>
      <c r="AK6">
        <v>0</v>
      </c>
      <c r="AL6">
        <v>0.96</v>
      </c>
      <c r="AM6">
        <v>0.01</v>
      </c>
      <c r="AN6">
        <v>0.03</v>
      </c>
      <c r="AO6">
        <v>0</v>
      </c>
      <c r="AP6">
        <v>0</v>
      </c>
      <c r="AQ6">
        <v>0</v>
      </c>
      <c r="AS6">
        <v>0</v>
      </c>
      <c r="AT6">
        <v>0.97</v>
      </c>
      <c r="AU6">
        <v>0.02</v>
      </c>
      <c r="AV6">
        <v>0.02</v>
      </c>
      <c r="AW6">
        <v>0</v>
      </c>
      <c r="AX6">
        <v>0</v>
      </c>
      <c r="AZ6">
        <v>0</v>
      </c>
      <c r="BA6">
        <v>0.97</v>
      </c>
      <c r="BB6">
        <v>0.01</v>
      </c>
      <c r="BC6">
        <v>0.01</v>
      </c>
      <c r="BD6">
        <v>0</v>
      </c>
      <c r="BE6">
        <v>0</v>
      </c>
      <c r="BG6">
        <v>0</v>
      </c>
      <c r="BH6">
        <v>0.98</v>
      </c>
      <c r="BI6">
        <v>0</v>
      </c>
      <c r="BJ6">
        <v>0</v>
      </c>
      <c r="BK6">
        <v>0.02</v>
      </c>
      <c r="BL6">
        <v>0</v>
      </c>
      <c r="BN6">
        <v>0</v>
      </c>
      <c r="BO6">
        <v>1</v>
      </c>
      <c r="BP6">
        <v>0</v>
      </c>
      <c r="BQ6">
        <v>0</v>
      </c>
      <c r="BR6">
        <v>0</v>
      </c>
      <c r="BS6">
        <v>0</v>
      </c>
    </row>
    <row r="7" spans="2:71" x14ac:dyDescent="0.25">
      <c r="B7">
        <f t="shared" ref="B7:B10" si="5">AVERAGE(I7,P7,W7,AD7,AK7)</f>
        <v>0</v>
      </c>
      <c r="C7">
        <f t="shared" ref="C7:C10" si="6">AVERAGE(J7,Q7,X7,AE7,AL7)</f>
        <v>2.4E-2</v>
      </c>
      <c r="D7" s="6">
        <f>AVERAGE(K7,R7,Y7,AF7,AM7,AU7,BB7,BI7,BP7)</f>
        <v>0.9522222222222223</v>
      </c>
      <c r="E7">
        <f t="shared" si="2"/>
        <v>0.01</v>
      </c>
      <c r="F7">
        <f t="shared" si="3"/>
        <v>1.2E-2</v>
      </c>
      <c r="G7">
        <f t="shared" si="4"/>
        <v>0</v>
      </c>
      <c r="I7">
        <v>0</v>
      </c>
      <c r="J7">
        <v>0</v>
      </c>
      <c r="K7">
        <v>0.98</v>
      </c>
      <c r="L7">
        <v>0</v>
      </c>
      <c r="M7">
        <v>0.02</v>
      </c>
      <c r="N7">
        <v>0</v>
      </c>
      <c r="P7">
        <v>0</v>
      </c>
      <c r="Q7">
        <v>0.02</v>
      </c>
      <c r="R7">
        <v>0.96</v>
      </c>
      <c r="S7">
        <v>0</v>
      </c>
      <c r="T7">
        <v>0.01</v>
      </c>
      <c r="U7">
        <v>0</v>
      </c>
      <c r="W7">
        <v>0</v>
      </c>
      <c r="X7">
        <v>0.05</v>
      </c>
      <c r="Y7">
        <v>0.92</v>
      </c>
      <c r="Z7">
        <v>0.02</v>
      </c>
      <c r="AA7">
        <v>0.01</v>
      </c>
      <c r="AB7">
        <v>0</v>
      </c>
      <c r="AD7">
        <v>0</v>
      </c>
      <c r="AE7">
        <v>0.03</v>
      </c>
      <c r="AF7">
        <v>0.93</v>
      </c>
      <c r="AG7">
        <v>0.01</v>
      </c>
      <c r="AH7">
        <v>0.02</v>
      </c>
      <c r="AI7">
        <v>0</v>
      </c>
      <c r="AK7">
        <v>0</v>
      </c>
      <c r="AL7">
        <v>0.02</v>
      </c>
      <c r="AM7">
        <v>0.95</v>
      </c>
      <c r="AN7">
        <v>0.02</v>
      </c>
      <c r="AO7">
        <v>0</v>
      </c>
      <c r="AP7">
        <v>0</v>
      </c>
      <c r="AQ7">
        <v>0</v>
      </c>
      <c r="AS7">
        <v>0</v>
      </c>
      <c r="AT7">
        <v>0</v>
      </c>
      <c r="AU7">
        <v>0.99</v>
      </c>
      <c r="AV7">
        <v>0.01</v>
      </c>
      <c r="AW7">
        <v>0</v>
      </c>
      <c r="AX7">
        <v>0</v>
      </c>
      <c r="AZ7">
        <v>0</v>
      </c>
      <c r="BA7">
        <v>0.02</v>
      </c>
      <c r="BB7">
        <v>0.94</v>
      </c>
      <c r="BC7">
        <v>0</v>
      </c>
      <c r="BD7">
        <v>0.03</v>
      </c>
      <c r="BE7">
        <v>0</v>
      </c>
      <c r="BG7">
        <v>0</v>
      </c>
      <c r="BH7">
        <v>0.01</v>
      </c>
      <c r="BI7">
        <v>0.95</v>
      </c>
      <c r="BJ7">
        <v>0.03</v>
      </c>
      <c r="BK7">
        <v>0</v>
      </c>
      <c r="BL7">
        <v>0</v>
      </c>
      <c r="BN7">
        <v>0</v>
      </c>
      <c r="BO7">
        <v>0.02</v>
      </c>
      <c r="BP7">
        <v>0.95</v>
      </c>
      <c r="BQ7">
        <v>0.02</v>
      </c>
      <c r="BR7">
        <v>0</v>
      </c>
      <c r="BS7">
        <v>0</v>
      </c>
    </row>
    <row r="8" spans="2:71" x14ac:dyDescent="0.25">
      <c r="B8">
        <f t="shared" si="5"/>
        <v>7.8E-2</v>
      </c>
      <c r="C8">
        <f t="shared" si="6"/>
        <v>7.6000000000000012E-2</v>
      </c>
      <c r="D8">
        <f t="shared" si="1"/>
        <v>7.0000000000000007E-2</v>
      </c>
      <c r="E8" s="6">
        <f>AVERAGE(L8,S8,Z8,AG8,AN8,AV8,BC8,BJ8,BQ8)</f>
        <v>0.67999999999999994</v>
      </c>
      <c r="F8">
        <f t="shared" si="3"/>
        <v>3.4000000000000002E-2</v>
      </c>
      <c r="G8">
        <f t="shared" si="4"/>
        <v>6.0000000000000012E-2</v>
      </c>
      <c r="I8">
        <v>7.0000000000000007E-2</v>
      </c>
      <c r="J8">
        <v>0.08</v>
      </c>
      <c r="K8">
        <v>0.08</v>
      </c>
      <c r="L8">
        <v>0.7</v>
      </c>
      <c r="M8">
        <v>0.03</v>
      </c>
      <c r="N8">
        <v>0.04</v>
      </c>
      <c r="P8">
        <v>0.09</v>
      </c>
      <c r="Q8">
        <v>0.06</v>
      </c>
      <c r="R8">
        <v>7.0000000000000007E-2</v>
      </c>
      <c r="S8">
        <v>0.68</v>
      </c>
      <c r="T8">
        <v>0.04</v>
      </c>
      <c r="U8">
        <v>0.06</v>
      </c>
      <c r="W8">
        <v>0.09</v>
      </c>
      <c r="X8">
        <v>0.08</v>
      </c>
      <c r="Y8">
        <v>7.0000000000000007E-2</v>
      </c>
      <c r="Z8">
        <v>0.67</v>
      </c>
      <c r="AA8">
        <v>0.03</v>
      </c>
      <c r="AB8">
        <v>7.0000000000000007E-2</v>
      </c>
      <c r="AD8">
        <v>7.0000000000000007E-2</v>
      </c>
      <c r="AE8">
        <v>0.08</v>
      </c>
      <c r="AF8">
        <v>0.06</v>
      </c>
      <c r="AG8">
        <v>0.68</v>
      </c>
      <c r="AH8">
        <v>0.05</v>
      </c>
      <c r="AI8">
        <v>7.0000000000000007E-2</v>
      </c>
      <c r="AK8">
        <v>7.0000000000000007E-2</v>
      </c>
      <c r="AL8">
        <v>0.08</v>
      </c>
      <c r="AM8">
        <v>7.0000000000000007E-2</v>
      </c>
      <c r="AN8">
        <v>0.7</v>
      </c>
      <c r="AO8">
        <v>0.02</v>
      </c>
      <c r="AP8">
        <v>0.06</v>
      </c>
      <c r="AQ8">
        <v>7.0000000000000007E-2</v>
      </c>
      <c r="AS8">
        <v>0.1</v>
      </c>
      <c r="AT8">
        <v>0.1</v>
      </c>
      <c r="AU8">
        <v>7.0000000000000007E-2</v>
      </c>
      <c r="AV8">
        <v>0.66</v>
      </c>
      <c r="AW8">
        <v>0.02</v>
      </c>
      <c r="AX8">
        <v>0.05</v>
      </c>
      <c r="AZ8">
        <v>0.09</v>
      </c>
      <c r="BA8">
        <v>0.08</v>
      </c>
      <c r="BB8">
        <v>0.06</v>
      </c>
      <c r="BC8">
        <v>0.66</v>
      </c>
      <c r="BD8">
        <v>0.03</v>
      </c>
      <c r="BE8">
        <v>0.08</v>
      </c>
      <c r="BG8">
        <v>0.08</v>
      </c>
      <c r="BH8">
        <v>7.0000000000000007E-2</v>
      </c>
      <c r="BI8">
        <v>0.06</v>
      </c>
      <c r="BJ8">
        <v>0.69</v>
      </c>
      <c r="BK8">
        <v>0.03</v>
      </c>
      <c r="BL8">
        <v>0.06</v>
      </c>
      <c r="BN8">
        <v>0.06</v>
      </c>
      <c r="BO8">
        <v>0.1</v>
      </c>
      <c r="BP8">
        <v>0.06</v>
      </c>
      <c r="BQ8">
        <v>0.68</v>
      </c>
      <c r="BR8">
        <v>0.03</v>
      </c>
      <c r="BS8">
        <v>7.0000000000000007E-2</v>
      </c>
    </row>
    <row r="9" spans="2:71" x14ac:dyDescent="0.25">
      <c r="B9">
        <f t="shared" si="5"/>
        <v>0.10200000000000001</v>
      </c>
      <c r="C9">
        <f t="shared" si="6"/>
        <v>0.16200000000000003</v>
      </c>
      <c r="D9">
        <f t="shared" si="1"/>
        <v>9.1999999999999998E-2</v>
      </c>
      <c r="E9">
        <f t="shared" si="2"/>
        <v>0.13600000000000001</v>
      </c>
      <c r="F9" s="6">
        <f>AVERAGE(M9,T9,AA9,AH9,AO9,AW9,BD9,BK9,BR9)</f>
        <v>0.33111111111111113</v>
      </c>
      <c r="G9">
        <f t="shared" si="4"/>
        <v>0.17400000000000002</v>
      </c>
      <c r="I9">
        <v>0.09</v>
      </c>
      <c r="J9">
        <v>0.16</v>
      </c>
      <c r="K9">
        <v>0.09</v>
      </c>
      <c r="L9">
        <v>0.13</v>
      </c>
      <c r="M9">
        <v>0.33</v>
      </c>
      <c r="N9">
        <v>0.2</v>
      </c>
      <c r="P9">
        <v>0.08</v>
      </c>
      <c r="Q9">
        <v>0.14000000000000001</v>
      </c>
      <c r="R9">
        <v>0.09</v>
      </c>
      <c r="S9">
        <v>0.14000000000000001</v>
      </c>
      <c r="T9">
        <v>0.36</v>
      </c>
      <c r="U9">
        <v>0.19</v>
      </c>
      <c r="W9">
        <v>0.1</v>
      </c>
      <c r="X9">
        <v>0.16</v>
      </c>
      <c r="Y9">
        <v>0.13</v>
      </c>
      <c r="Z9">
        <v>0.12</v>
      </c>
      <c r="AA9">
        <v>0.31</v>
      </c>
      <c r="AB9">
        <v>0.17</v>
      </c>
      <c r="AD9">
        <v>0.11</v>
      </c>
      <c r="AE9">
        <v>0.18</v>
      </c>
      <c r="AF9">
        <v>0.05</v>
      </c>
      <c r="AG9">
        <v>0.14000000000000001</v>
      </c>
      <c r="AH9">
        <v>0.39</v>
      </c>
      <c r="AI9">
        <v>0.14000000000000001</v>
      </c>
      <c r="AK9">
        <v>0.13</v>
      </c>
      <c r="AL9">
        <v>0.17</v>
      </c>
      <c r="AM9">
        <v>0.1</v>
      </c>
      <c r="AN9">
        <v>0.15</v>
      </c>
      <c r="AO9">
        <v>0.28999999999999998</v>
      </c>
      <c r="AP9">
        <v>0.17</v>
      </c>
      <c r="AQ9">
        <v>0.16</v>
      </c>
      <c r="AS9">
        <v>0.11</v>
      </c>
      <c r="AT9">
        <v>0.14000000000000001</v>
      </c>
      <c r="AU9">
        <v>0.11</v>
      </c>
      <c r="AV9">
        <v>0.13</v>
      </c>
      <c r="AW9">
        <v>0.36</v>
      </c>
      <c r="AX9">
        <v>0.14000000000000001</v>
      </c>
      <c r="AZ9">
        <v>0.11</v>
      </c>
      <c r="BA9">
        <v>0.16</v>
      </c>
      <c r="BB9">
        <v>0.13</v>
      </c>
      <c r="BC9">
        <v>0.15</v>
      </c>
      <c r="BD9">
        <v>0.27</v>
      </c>
      <c r="BE9">
        <v>0.18</v>
      </c>
      <c r="BG9">
        <v>0.1</v>
      </c>
      <c r="BH9">
        <v>0.17</v>
      </c>
      <c r="BI9">
        <v>0.09</v>
      </c>
      <c r="BJ9">
        <v>0.13</v>
      </c>
      <c r="BK9">
        <v>0.37</v>
      </c>
      <c r="BL9">
        <v>0.15</v>
      </c>
      <c r="BN9">
        <v>0.09</v>
      </c>
      <c r="BO9">
        <v>0.16</v>
      </c>
      <c r="BP9">
        <v>0.12</v>
      </c>
      <c r="BQ9">
        <v>0.14000000000000001</v>
      </c>
      <c r="BR9">
        <v>0.3</v>
      </c>
      <c r="BS9">
        <v>0.19</v>
      </c>
    </row>
    <row r="10" spans="2:71" x14ac:dyDescent="0.25">
      <c r="B10">
        <f t="shared" si="5"/>
        <v>2.6000000000000002E-2</v>
      </c>
      <c r="C10">
        <f t="shared" si="6"/>
        <v>4.0000000000000001E-3</v>
      </c>
      <c r="D10">
        <f t="shared" si="1"/>
        <v>6.0000000000000001E-3</v>
      </c>
      <c r="E10">
        <f t="shared" si="2"/>
        <v>8.0000000000000002E-3</v>
      </c>
      <c r="F10">
        <f t="shared" si="3"/>
        <v>6.0000000000000001E-3</v>
      </c>
      <c r="G10" s="6">
        <f>AVERAGE(N10,U10,AB10,AI10,AP10,AX10,BE10,BL10,BS10)</f>
        <v>0.95555555555555549</v>
      </c>
      <c r="I10">
        <v>0.03</v>
      </c>
      <c r="J10">
        <v>0</v>
      </c>
      <c r="K10">
        <v>0</v>
      </c>
      <c r="L10">
        <v>0</v>
      </c>
      <c r="M10">
        <v>0.02</v>
      </c>
      <c r="N10">
        <v>0.95</v>
      </c>
      <c r="P10">
        <v>0.02</v>
      </c>
      <c r="Q10">
        <v>0.01</v>
      </c>
      <c r="R10">
        <v>0.01</v>
      </c>
      <c r="S10">
        <v>0</v>
      </c>
      <c r="T10">
        <v>0</v>
      </c>
      <c r="U10">
        <v>0.96</v>
      </c>
      <c r="W10">
        <v>0.02</v>
      </c>
      <c r="X10">
        <v>0</v>
      </c>
      <c r="Y10">
        <v>0</v>
      </c>
      <c r="Z10">
        <v>0.01</v>
      </c>
      <c r="AA10">
        <v>0.01</v>
      </c>
      <c r="AB10">
        <v>0.96</v>
      </c>
      <c r="AD10">
        <v>0.02</v>
      </c>
      <c r="AE10">
        <v>0</v>
      </c>
      <c r="AF10">
        <v>0.01</v>
      </c>
      <c r="AG10">
        <v>0.01</v>
      </c>
      <c r="AH10">
        <v>0</v>
      </c>
      <c r="AI10">
        <v>0.96</v>
      </c>
      <c r="AK10">
        <v>0.04</v>
      </c>
      <c r="AL10">
        <v>0.01</v>
      </c>
      <c r="AM10">
        <v>0.01</v>
      </c>
      <c r="AN10">
        <v>0.02</v>
      </c>
      <c r="AO10">
        <v>0</v>
      </c>
      <c r="AP10">
        <v>0.92</v>
      </c>
      <c r="AQ10">
        <v>0.96</v>
      </c>
      <c r="AS10">
        <v>0.01</v>
      </c>
      <c r="AT10">
        <v>0</v>
      </c>
      <c r="AU10">
        <v>0</v>
      </c>
      <c r="AV10">
        <v>0</v>
      </c>
      <c r="AW10">
        <v>0</v>
      </c>
      <c r="AX10">
        <v>0.99</v>
      </c>
      <c r="AZ10">
        <v>0.05</v>
      </c>
      <c r="BA10">
        <v>0</v>
      </c>
      <c r="BB10">
        <v>0.01</v>
      </c>
      <c r="BC10">
        <v>0</v>
      </c>
      <c r="BD10">
        <v>0.01</v>
      </c>
      <c r="BE10">
        <v>0.93</v>
      </c>
      <c r="BG10">
        <v>0.01</v>
      </c>
      <c r="BH10">
        <v>0</v>
      </c>
      <c r="BI10">
        <v>0</v>
      </c>
      <c r="BJ10">
        <v>0</v>
      </c>
      <c r="BK10">
        <v>0.02</v>
      </c>
      <c r="BL10">
        <v>0.97</v>
      </c>
      <c r="BN10">
        <v>0.02</v>
      </c>
      <c r="BO10">
        <v>0</v>
      </c>
      <c r="BP10">
        <v>0</v>
      </c>
      <c r="BQ10">
        <v>0.02</v>
      </c>
      <c r="BR10">
        <v>0</v>
      </c>
      <c r="BS10">
        <v>0.96</v>
      </c>
    </row>
    <row r="12" spans="2:71" x14ac:dyDescent="0.25">
      <c r="B12" s="6">
        <f>AVERAGE(I12,P12,W12,AD12,AK12,AS12,AZ12,BG12,BN12)</f>
        <v>0.81444444444444453</v>
      </c>
      <c r="I12">
        <v>0.82</v>
      </c>
      <c r="P12">
        <v>0.82</v>
      </c>
      <c r="W12">
        <v>0.81</v>
      </c>
      <c r="AD12">
        <v>0.82</v>
      </c>
      <c r="AK12">
        <v>0.8</v>
      </c>
      <c r="AQ12">
        <v>0</v>
      </c>
      <c r="AS12">
        <v>0.83</v>
      </c>
      <c r="AT12">
        <v>0</v>
      </c>
      <c r="AU12">
        <v>0</v>
      </c>
      <c r="AV12">
        <v>0</v>
      </c>
      <c r="AW12">
        <v>0</v>
      </c>
      <c r="AX12">
        <v>0</v>
      </c>
      <c r="AZ12">
        <v>0.79</v>
      </c>
      <c r="BA12">
        <v>0</v>
      </c>
      <c r="BB12">
        <v>0</v>
      </c>
      <c r="BC12">
        <v>0</v>
      </c>
      <c r="BD12">
        <v>0</v>
      </c>
      <c r="BE12">
        <v>0</v>
      </c>
      <c r="BG12">
        <v>0.82</v>
      </c>
      <c r="BH12">
        <v>0</v>
      </c>
      <c r="BI12">
        <v>0</v>
      </c>
      <c r="BJ12">
        <v>0</v>
      </c>
      <c r="BK12">
        <v>0</v>
      </c>
      <c r="BL12">
        <v>0</v>
      </c>
      <c r="BN12">
        <v>0.82</v>
      </c>
      <c r="BO12">
        <v>0</v>
      </c>
      <c r="BP12">
        <v>0</v>
      </c>
      <c r="BQ12">
        <v>0</v>
      </c>
      <c r="BR12">
        <v>0</v>
      </c>
      <c r="BS12">
        <v>0</v>
      </c>
    </row>
    <row r="16" spans="2:71" x14ac:dyDescent="0.25">
      <c r="B16" s="6">
        <f>AVERAGE(I16,P16,W16,AD16,AK16,AS16,AZ16,BG16,BN16)</f>
        <v>0.63222222222222224</v>
      </c>
      <c r="C16">
        <f t="shared" ref="C16:C21" si="7">AVERAGE(J16,Q16,X16,AE16,AL16)</f>
        <v>0</v>
      </c>
      <c r="D16">
        <f t="shared" ref="D16:D21" si="8">AVERAGE(K16,R16,Y16,AF16,AM16)</f>
        <v>2.8000000000000004E-2</v>
      </c>
      <c r="E16">
        <f t="shared" ref="E16:E21" si="9">AVERAGE(L16,S16,Z16,AG16,AN16)</f>
        <v>7.1999999999999995E-2</v>
      </c>
      <c r="F16">
        <f t="shared" ref="F16:F21" si="10">AVERAGE(M16,T16,AA16,AH16,AO16)</f>
        <v>0.02</v>
      </c>
      <c r="G16">
        <f t="shared" ref="G16:G20" si="11">AVERAGE(N16,U16,AB16,AI16,AP16)</f>
        <v>0.21000000000000002</v>
      </c>
      <c r="I16">
        <v>0.6</v>
      </c>
      <c r="J16">
        <v>0</v>
      </c>
      <c r="K16">
        <v>0</v>
      </c>
      <c r="L16">
        <v>0</v>
      </c>
      <c r="M16">
        <v>0.1</v>
      </c>
      <c r="N16">
        <v>0.3</v>
      </c>
      <c r="P16">
        <v>0.56999999999999995</v>
      </c>
      <c r="Q16">
        <v>0</v>
      </c>
      <c r="R16">
        <v>0.14000000000000001</v>
      </c>
      <c r="S16">
        <v>0.14000000000000001</v>
      </c>
      <c r="T16">
        <v>0</v>
      </c>
      <c r="U16">
        <v>0.14000000000000001</v>
      </c>
      <c r="W16">
        <v>0.8</v>
      </c>
      <c r="X16">
        <v>0</v>
      </c>
      <c r="Y16">
        <v>0</v>
      </c>
      <c r="Z16">
        <v>0.13</v>
      </c>
      <c r="AA16">
        <v>0</v>
      </c>
      <c r="AB16">
        <v>7.0000000000000007E-2</v>
      </c>
      <c r="AD16">
        <v>0.91</v>
      </c>
      <c r="AE16">
        <v>0</v>
      </c>
      <c r="AF16">
        <v>0</v>
      </c>
      <c r="AG16">
        <v>0</v>
      </c>
      <c r="AH16">
        <v>0</v>
      </c>
      <c r="AI16">
        <v>0.09</v>
      </c>
      <c r="AK16">
        <v>0.45</v>
      </c>
      <c r="AL16">
        <v>0</v>
      </c>
      <c r="AM16">
        <v>0</v>
      </c>
      <c r="AN16">
        <v>0.09</v>
      </c>
      <c r="AO16">
        <v>0</v>
      </c>
      <c r="AP16">
        <v>0.45</v>
      </c>
      <c r="AQ16">
        <v>0.13</v>
      </c>
      <c r="AS16">
        <v>0.56000000000000005</v>
      </c>
      <c r="AT16">
        <v>0</v>
      </c>
      <c r="AU16">
        <v>0</v>
      </c>
      <c r="AV16">
        <v>0.11</v>
      </c>
      <c r="AW16">
        <v>0.11</v>
      </c>
      <c r="AX16">
        <v>0.22</v>
      </c>
      <c r="AZ16">
        <v>0.5</v>
      </c>
      <c r="BA16">
        <v>0</v>
      </c>
      <c r="BB16">
        <v>0</v>
      </c>
      <c r="BC16">
        <v>0</v>
      </c>
      <c r="BD16">
        <v>0</v>
      </c>
      <c r="BE16">
        <v>0.5</v>
      </c>
      <c r="BG16">
        <v>0.67</v>
      </c>
      <c r="BH16">
        <v>0</v>
      </c>
      <c r="BI16">
        <v>0.17</v>
      </c>
      <c r="BJ16">
        <v>0</v>
      </c>
      <c r="BK16">
        <v>0.17</v>
      </c>
      <c r="BL16">
        <v>0</v>
      </c>
      <c r="BN16">
        <v>0.63</v>
      </c>
      <c r="BO16">
        <v>0</v>
      </c>
      <c r="BP16">
        <v>0.13</v>
      </c>
      <c r="BQ16">
        <v>0.13</v>
      </c>
      <c r="BR16">
        <v>0</v>
      </c>
      <c r="BS16">
        <v>0.13</v>
      </c>
    </row>
    <row r="17" spans="2:71" x14ac:dyDescent="0.25">
      <c r="B17">
        <f t="shared" ref="B17:B21" si="12">AVERAGE(I17,P17,W17,AD17,AK17)</f>
        <v>0</v>
      </c>
      <c r="C17" s="6">
        <f>AVERAGE(J17,Q17,X17,AE17,AL17,AT17,BA17,BH17,BO17)</f>
        <v>0.65777777777777779</v>
      </c>
      <c r="D17">
        <f t="shared" si="8"/>
        <v>0.19800000000000001</v>
      </c>
      <c r="E17">
        <f t="shared" si="9"/>
        <v>4.8000000000000001E-2</v>
      </c>
      <c r="F17">
        <f t="shared" si="10"/>
        <v>0.11600000000000002</v>
      </c>
      <c r="G17">
        <f t="shared" si="11"/>
        <v>2.1999999999999999E-2</v>
      </c>
      <c r="I17">
        <v>0</v>
      </c>
      <c r="J17">
        <v>0.22</v>
      </c>
      <c r="K17">
        <v>0.22</v>
      </c>
      <c r="L17">
        <v>0</v>
      </c>
      <c r="M17">
        <v>0.44</v>
      </c>
      <c r="N17">
        <v>0.11</v>
      </c>
      <c r="P17">
        <v>0</v>
      </c>
      <c r="Q17">
        <v>0.7</v>
      </c>
      <c r="R17">
        <v>0.2</v>
      </c>
      <c r="S17">
        <v>0.1</v>
      </c>
      <c r="T17">
        <v>0</v>
      </c>
      <c r="U17">
        <v>0</v>
      </c>
      <c r="W17">
        <v>0</v>
      </c>
      <c r="X17">
        <v>0.56999999999999995</v>
      </c>
      <c r="Y17">
        <v>0.43</v>
      </c>
      <c r="Z17">
        <v>0</v>
      </c>
      <c r="AA17">
        <v>0</v>
      </c>
      <c r="AB17">
        <v>0</v>
      </c>
      <c r="AD17">
        <v>0</v>
      </c>
      <c r="AE17">
        <v>0.56999999999999995</v>
      </c>
      <c r="AF17">
        <v>0.14000000000000001</v>
      </c>
      <c r="AG17">
        <v>0.14000000000000001</v>
      </c>
      <c r="AH17">
        <v>0.14000000000000001</v>
      </c>
      <c r="AI17">
        <v>0</v>
      </c>
      <c r="AK17">
        <v>0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0.13</v>
      </c>
      <c r="AS17">
        <v>0.2</v>
      </c>
      <c r="AT17">
        <v>0.5</v>
      </c>
      <c r="AU17">
        <v>0.1</v>
      </c>
      <c r="AV17">
        <v>0.2</v>
      </c>
      <c r="AW17">
        <v>0</v>
      </c>
      <c r="AX17">
        <v>0</v>
      </c>
      <c r="AZ17">
        <v>0</v>
      </c>
      <c r="BA17">
        <v>1</v>
      </c>
      <c r="BB17">
        <v>0</v>
      </c>
      <c r="BC17">
        <v>0</v>
      </c>
      <c r="BD17">
        <v>0</v>
      </c>
      <c r="BE17">
        <v>0</v>
      </c>
      <c r="BG17">
        <v>0</v>
      </c>
      <c r="BH17">
        <v>0.8</v>
      </c>
      <c r="BI17">
        <v>0.1</v>
      </c>
      <c r="BJ17">
        <v>0.1</v>
      </c>
      <c r="BK17">
        <v>0</v>
      </c>
      <c r="BL17">
        <v>0</v>
      </c>
      <c r="BN17">
        <v>0</v>
      </c>
      <c r="BO17">
        <v>0.56000000000000005</v>
      </c>
      <c r="BP17">
        <v>0.22</v>
      </c>
      <c r="BQ17">
        <v>0.11</v>
      </c>
      <c r="BR17">
        <v>0.11</v>
      </c>
      <c r="BS17">
        <v>0</v>
      </c>
    </row>
    <row r="18" spans="2:71" x14ac:dyDescent="0.25">
      <c r="B18">
        <f t="shared" si="12"/>
        <v>0.11000000000000001</v>
      </c>
      <c r="C18">
        <f t="shared" si="7"/>
        <v>0.28399999999999997</v>
      </c>
      <c r="D18" s="6">
        <f>AVERAGE(K18,R18,Y18,AF18,AM18,AU18,BB18,BI18,BP18)</f>
        <v>0.36111111111111116</v>
      </c>
      <c r="E18">
        <f t="shared" si="9"/>
        <v>0.23799999999999999</v>
      </c>
      <c r="F18">
        <f t="shared" si="10"/>
        <v>2.6000000000000002E-2</v>
      </c>
      <c r="G18">
        <f t="shared" si="11"/>
        <v>0</v>
      </c>
      <c r="I18">
        <v>0.09</v>
      </c>
      <c r="J18">
        <v>0.45</v>
      </c>
      <c r="K18">
        <v>0.27</v>
      </c>
      <c r="L18">
        <v>0.18</v>
      </c>
      <c r="M18">
        <v>0</v>
      </c>
      <c r="N18">
        <v>0</v>
      </c>
      <c r="P18">
        <v>0.08</v>
      </c>
      <c r="Q18">
        <v>0.08</v>
      </c>
      <c r="R18">
        <v>0.33</v>
      </c>
      <c r="S18">
        <v>0.5</v>
      </c>
      <c r="T18">
        <v>0</v>
      </c>
      <c r="U18">
        <v>0</v>
      </c>
      <c r="W18">
        <v>0.13</v>
      </c>
      <c r="X18">
        <v>0.38</v>
      </c>
      <c r="Y18">
        <v>0.38</v>
      </c>
      <c r="Z18">
        <v>0.13</v>
      </c>
      <c r="AA18">
        <v>0</v>
      </c>
      <c r="AB18">
        <v>0</v>
      </c>
      <c r="AD18">
        <v>0.25</v>
      </c>
      <c r="AE18">
        <v>0.38</v>
      </c>
      <c r="AF18">
        <v>0.38</v>
      </c>
      <c r="AG18">
        <v>0</v>
      </c>
      <c r="AH18">
        <v>0</v>
      </c>
      <c r="AI18">
        <v>0</v>
      </c>
      <c r="AK18">
        <v>0</v>
      </c>
      <c r="AL18">
        <v>0.13</v>
      </c>
      <c r="AM18">
        <v>0.38</v>
      </c>
      <c r="AN18">
        <v>0.38</v>
      </c>
      <c r="AO18">
        <v>0.13</v>
      </c>
      <c r="AP18">
        <v>0</v>
      </c>
      <c r="AQ18">
        <v>0.08</v>
      </c>
      <c r="AS18">
        <v>0</v>
      </c>
      <c r="AT18">
        <v>0.36</v>
      </c>
      <c r="AU18">
        <v>0.45</v>
      </c>
      <c r="AV18">
        <v>0.09</v>
      </c>
      <c r="AW18">
        <v>0.09</v>
      </c>
      <c r="AX18">
        <v>0</v>
      </c>
      <c r="AZ18">
        <v>0.14000000000000001</v>
      </c>
      <c r="BA18">
        <v>0.43</v>
      </c>
      <c r="BB18">
        <v>0.28999999999999998</v>
      </c>
      <c r="BC18">
        <v>0.14000000000000001</v>
      </c>
      <c r="BD18">
        <v>0</v>
      </c>
      <c r="BE18">
        <v>0</v>
      </c>
      <c r="BG18">
        <v>0</v>
      </c>
      <c r="BH18">
        <v>0</v>
      </c>
      <c r="BI18">
        <v>0.56999999999999995</v>
      </c>
      <c r="BJ18">
        <v>0.14000000000000001</v>
      </c>
      <c r="BK18">
        <v>0.28999999999999998</v>
      </c>
      <c r="BL18">
        <v>0</v>
      </c>
      <c r="BN18">
        <v>0</v>
      </c>
      <c r="BO18">
        <v>0.4</v>
      </c>
      <c r="BP18">
        <v>0.2</v>
      </c>
      <c r="BQ18">
        <v>0.3</v>
      </c>
      <c r="BR18">
        <v>0</v>
      </c>
      <c r="BS18">
        <v>0.1</v>
      </c>
    </row>
    <row r="19" spans="2:71" x14ac:dyDescent="0.25">
      <c r="B19">
        <f t="shared" si="12"/>
        <v>0.14199999999999999</v>
      </c>
      <c r="C19">
        <f t="shared" si="7"/>
        <v>0.10800000000000001</v>
      </c>
      <c r="D19">
        <f t="shared" si="8"/>
        <v>0.11599999999999999</v>
      </c>
      <c r="E19" s="6">
        <f>AVERAGE(L19,S19,Z19,AG19,AN19,AV19,BC19,BJ19,BQ19)</f>
        <v>0.48888888888888893</v>
      </c>
      <c r="F19">
        <f t="shared" si="10"/>
        <v>7.0000000000000007E-2</v>
      </c>
      <c r="G19">
        <f t="shared" si="11"/>
        <v>0.09</v>
      </c>
      <c r="I19">
        <v>0.13</v>
      </c>
      <c r="J19">
        <v>0.03</v>
      </c>
      <c r="K19">
        <v>0.13</v>
      </c>
      <c r="L19">
        <v>0.46</v>
      </c>
      <c r="M19">
        <v>0.13</v>
      </c>
      <c r="N19">
        <v>0.13</v>
      </c>
      <c r="P19">
        <v>0.18</v>
      </c>
      <c r="Q19">
        <v>0.18</v>
      </c>
      <c r="R19">
        <v>0.11</v>
      </c>
      <c r="S19">
        <v>0.47</v>
      </c>
      <c r="T19">
        <v>0</v>
      </c>
      <c r="U19">
        <v>0.05</v>
      </c>
      <c r="W19">
        <v>7.0000000000000007E-2</v>
      </c>
      <c r="X19">
        <v>0.11</v>
      </c>
      <c r="Y19">
        <v>7.0000000000000007E-2</v>
      </c>
      <c r="Z19">
        <v>0.55000000000000004</v>
      </c>
      <c r="AA19">
        <v>7.0000000000000007E-2</v>
      </c>
      <c r="AB19">
        <v>0.14000000000000001</v>
      </c>
      <c r="AD19">
        <v>0.21</v>
      </c>
      <c r="AE19">
        <v>0.08</v>
      </c>
      <c r="AF19">
        <v>0.11</v>
      </c>
      <c r="AG19">
        <v>0.42</v>
      </c>
      <c r="AH19">
        <v>0.08</v>
      </c>
      <c r="AI19">
        <v>0.11</v>
      </c>
      <c r="AK19">
        <v>0.12</v>
      </c>
      <c r="AL19">
        <v>0.14000000000000001</v>
      </c>
      <c r="AM19">
        <v>0.16</v>
      </c>
      <c r="AN19">
        <v>0.49</v>
      </c>
      <c r="AO19">
        <v>7.0000000000000007E-2</v>
      </c>
      <c r="AP19">
        <v>0.02</v>
      </c>
      <c r="AQ19">
        <v>0.05</v>
      </c>
      <c r="AS19">
        <v>0.13</v>
      </c>
      <c r="AT19">
        <v>0.1</v>
      </c>
      <c r="AU19">
        <v>0.03</v>
      </c>
      <c r="AV19">
        <v>0.64</v>
      </c>
      <c r="AW19">
        <v>0.03</v>
      </c>
      <c r="AX19">
        <v>0.08</v>
      </c>
      <c r="AZ19">
        <v>0.2</v>
      </c>
      <c r="BA19">
        <v>0.09</v>
      </c>
      <c r="BB19">
        <v>0.15</v>
      </c>
      <c r="BC19">
        <v>0.42</v>
      </c>
      <c r="BD19">
        <v>0.04</v>
      </c>
      <c r="BE19">
        <v>0.11</v>
      </c>
      <c r="BG19">
        <v>0.04</v>
      </c>
      <c r="BH19">
        <v>0.23</v>
      </c>
      <c r="BI19">
        <v>0.06</v>
      </c>
      <c r="BJ19">
        <v>0.47</v>
      </c>
      <c r="BK19">
        <v>0.09</v>
      </c>
      <c r="BL19">
        <v>0.11</v>
      </c>
      <c r="BN19">
        <v>0.05</v>
      </c>
      <c r="BO19">
        <v>0.16</v>
      </c>
      <c r="BP19">
        <v>0.16</v>
      </c>
      <c r="BQ19">
        <v>0.48</v>
      </c>
      <c r="BR19">
        <v>0.05</v>
      </c>
      <c r="BS19">
        <v>0.11</v>
      </c>
    </row>
    <row r="20" spans="2:71" x14ac:dyDescent="0.25">
      <c r="B20">
        <f t="shared" si="12"/>
        <v>0.13200000000000001</v>
      </c>
      <c r="C20">
        <f t="shared" si="7"/>
        <v>0.20600000000000002</v>
      </c>
      <c r="D20">
        <f t="shared" si="8"/>
        <v>0.10799999999999998</v>
      </c>
      <c r="E20">
        <f t="shared" si="9"/>
        <v>0.23399999999999999</v>
      </c>
      <c r="F20" s="6">
        <f>AVERAGE(M20,T20,AA20,AH20,AO20,AW20,BD20,BK20,BR20)</f>
        <v>9.6666666666666679E-2</v>
      </c>
      <c r="G20">
        <f t="shared" si="11"/>
        <v>0.21599999999999997</v>
      </c>
      <c r="I20">
        <v>0.09</v>
      </c>
      <c r="J20">
        <v>0.18</v>
      </c>
      <c r="K20">
        <v>0.18</v>
      </c>
      <c r="L20">
        <v>0.28999999999999998</v>
      </c>
      <c r="M20">
        <v>0.06</v>
      </c>
      <c r="N20">
        <v>0.21</v>
      </c>
      <c r="P20">
        <v>0.18</v>
      </c>
      <c r="Q20">
        <v>0.26</v>
      </c>
      <c r="R20">
        <v>0.08</v>
      </c>
      <c r="S20">
        <v>0.13</v>
      </c>
      <c r="T20">
        <v>0.1</v>
      </c>
      <c r="U20">
        <v>0.26</v>
      </c>
      <c r="W20">
        <v>0.13</v>
      </c>
      <c r="X20">
        <v>0.23</v>
      </c>
      <c r="Y20">
        <v>0.1</v>
      </c>
      <c r="Z20">
        <v>0.28999999999999998</v>
      </c>
      <c r="AA20">
        <v>0</v>
      </c>
      <c r="AB20">
        <v>0.26</v>
      </c>
      <c r="AD20">
        <v>0.18</v>
      </c>
      <c r="AE20">
        <v>0.13</v>
      </c>
      <c r="AF20">
        <v>0.1</v>
      </c>
      <c r="AG20">
        <v>0.18</v>
      </c>
      <c r="AH20">
        <v>0.23</v>
      </c>
      <c r="AI20">
        <v>0.2</v>
      </c>
      <c r="AK20">
        <v>0.08</v>
      </c>
      <c r="AL20">
        <v>0.23</v>
      </c>
      <c r="AM20">
        <v>0.08</v>
      </c>
      <c r="AN20">
        <v>0.28000000000000003</v>
      </c>
      <c r="AO20">
        <v>0.18</v>
      </c>
      <c r="AP20">
        <v>0.15</v>
      </c>
      <c r="AQ20">
        <v>0.21</v>
      </c>
      <c r="AS20">
        <v>0.11</v>
      </c>
      <c r="AT20">
        <v>0.19</v>
      </c>
      <c r="AU20">
        <v>0.14000000000000001</v>
      </c>
      <c r="AV20">
        <v>0.27</v>
      </c>
      <c r="AW20">
        <v>0.08</v>
      </c>
      <c r="AX20">
        <v>0.22</v>
      </c>
      <c r="AZ20">
        <v>0.16</v>
      </c>
      <c r="BA20">
        <v>0.13</v>
      </c>
      <c r="BB20">
        <v>0.24</v>
      </c>
      <c r="BC20">
        <v>0.18</v>
      </c>
      <c r="BD20">
        <v>0.11</v>
      </c>
      <c r="BE20">
        <v>0.18</v>
      </c>
      <c r="BG20">
        <v>0.03</v>
      </c>
      <c r="BH20">
        <v>0.18</v>
      </c>
      <c r="BI20">
        <v>0.09</v>
      </c>
      <c r="BJ20">
        <v>0.28999999999999998</v>
      </c>
      <c r="BK20">
        <v>0.06</v>
      </c>
      <c r="BL20">
        <v>0.35</v>
      </c>
      <c r="BN20">
        <v>0.13</v>
      </c>
      <c r="BO20">
        <v>0.3</v>
      </c>
      <c r="BP20">
        <v>0.18</v>
      </c>
      <c r="BQ20">
        <v>0.1</v>
      </c>
      <c r="BR20">
        <v>0.05</v>
      </c>
      <c r="BS20">
        <v>0.25</v>
      </c>
    </row>
    <row r="21" spans="2:71" x14ac:dyDescent="0.25">
      <c r="B21">
        <f t="shared" si="12"/>
        <v>0.35200000000000004</v>
      </c>
      <c r="C21">
        <f t="shared" si="7"/>
        <v>1.6E-2</v>
      </c>
      <c r="D21">
        <f t="shared" si="8"/>
        <v>0.05</v>
      </c>
      <c r="E21">
        <f t="shared" si="9"/>
        <v>6.4000000000000001E-2</v>
      </c>
      <c r="F21">
        <f t="shared" si="10"/>
        <v>9.6000000000000002E-2</v>
      </c>
      <c r="G21" s="6">
        <f>AVERAGE(N21,U21,AB21,AI21,AP21,AX21,BE21,BL21,BS21)</f>
        <v>0.44</v>
      </c>
      <c r="I21">
        <v>0.46</v>
      </c>
      <c r="J21">
        <v>0</v>
      </c>
      <c r="K21">
        <v>0</v>
      </c>
      <c r="L21">
        <v>0.15</v>
      </c>
      <c r="M21">
        <v>0.08</v>
      </c>
      <c r="N21">
        <v>0.31</v>
      </c>
      <c r="P21">
        <v>0.36</v>
      </c>
      <c r="Q21">
        <v>0</v>
      </c>
      <c r="R21">
        <v>0.09</v>
      </c>
      <c r="S21">
        <v>0.09</v>
      </c>
      <c r="T21">
        <v>0.09</v>
      </c>
      <c r="U21">
        <v>0.36</v>
      </c>
      <c r="W21">
        <v>0.33</v>
      </c>
      <c r="X21">
        <v>0</v>
      </c>
      <c r="Y21">
        <v>0</v>
      </c>
      <c r="Z21">
        <v>0</v>
      </c>
      <c r="AA21">
        <v>0</v>
      </c>
      <c r="AB21">
        <v>0.67</v>
      </c>
      <c r="AD21">
        <v>0.38</v>
      </c>
      <c r="AE21">
        <v>0</v>
      </c>
      <c r="AF21">
        <v>0.08</v>
      </c>
      <c r="AG21">
        <v>0</v>
      </c>
      <c r="AH21">
        <v>0.31</v>
      </c>
      <c r="AI21">
        <v>0.23</v>
      </c>
      <c r="AK21">
        <v>0.23</v>
      </c>
      <c r="AL21">
        <v>0.08</v>
      </c>
      <c r="AM21">
        <v>0.08</v>
      </c>
      <c r="AN21">
        <v>0.08</v>
      </c>
      <c r="AO21">
        <v>0</v>
      </c>
      <c r="AP21">
        <v>0.54</v>
      </c>
      <c r="AQ21">
        <v>0.55000000000000004</v>
      </c>
      <c r="AS21">
        <v>0.18</v>
      </c>
      <c r="AT21">
        <v>0</v>
      </c>
      <c r="AU21">
        <v>0</v>
      </c>
      <c r="AV21">
        <v>0.27</v>
      </c>
      <c r="AW21">
        <v>0.09</v>
      </c>
      <c r="AX21">
        <v>0.45</v>
      </c>
      <c r="AZ21">
        <v>0.33</v>
      </c>
      <c r="BA21">
        <v>0</v>
      </c>
      <c r="BB21">
        <v>0.11</v>
      </c>
      <c r="BC21">
        <v>0</v>
      </c>
      <c r="BD21">
        <v>0.22</v>
      </c>
      <c r="BE21">
        <v>0.33</v>
      </c>
      <c r="BG21">
        <v>0.08</v>
      </c>
      <c r="BH21">
        <v>0</v>
      </c>
      <c r="BI21">
        <v>0.08</v>
      </c>
      <c r="BJ21">
        <v>0</v>
      </c>
      <c r="BK21">
        <v>0.17</v>
      </c>
      <c r="BL21">
        <v>0.67</v>
      </c>
      <c r="BN21">
        <v>0.4</v>
      </c>
      <c r="BO21">
        <v>0</v>
      </c>
      <c r="BP21">
        <v>0.2</v>
      </c>
      <c r="BQ21">
        <v>0</v>
      </c>
      <c r="BR21">
        <v>0</v>
      </c>
      <c r="BS21">
        <v>0.4</v>
      </c>
    </row>
    <row r="23" spans="2:71" x14ac:dyDescent="0.25">
      <c r="B23" s="6">
        <f>AVERAGE(I23,P23,W23,AD23,AK23,AS23,AZ23,BG23,BN23)</f>
        <v>0.44555555555555565</v>
      </c>
      <c r="I23">
        <v>0.32</v>
      </c>
      <c r="P23">
        <v>0.42</v>
      </c>
      <c r="W23">
        <v>0.49</v>
      </c>
      <c r="AD23">
        <v>0.46</v>
      </c>
      <c r="AK23">
        <v>0.51</v>
      </c>
      <c r="AQ23">
        <v>0</v>
      </c>
      <c r="AS23">
        <v>0.45</v>
      </c>
      <c r="AT23">
        <v>0</v>
      </c>
      <c r="AU23">
        <v>0</v>
      </c>
      <c r="AV23">
        <v>0</v>
      </c>
      <c r="AW23">
        <v>0</v>
      </c>
      <c r="AX23">
        <v>0</v>
      </c>
      <c r="AZ23">
        <v>0.44</v>
      </c>
      <c r="BA23">
        <v>0</v>
      </c>
      <c r="BB23">
        <v>0</v>
      </c>
      <c r="BC23">
        <v>0</v>
      </c>
      <c r="BD23">
        <v>0</v>
      </c>
      <c r="BE23">
        <v>0</v>
      </c>
      <c r="BG23">
        <v>0.54</v>
      </c>
      <c r="BH23">
        <v>0</v>
      </c>
      <c r="BI23">
        <v>0</v>
      </c>
      <c r="BJ23">
        <v>0</v>
      </c>
      <c r="BK23">
        <v>0</v>
      </c>
      <c r="BL23">
        <v>0</v>
      </c>
      <c r="BN23">
        <v>0.38</v>
      </c>
      <c r="BO23">
        <v>0</v>
      </c>
      <c r="BP23">
        <v>0</v>
      </c>
      <c r="BQ23">
        <v>0</v>
      </c>
      <c r="BR23">
        <v>0</v>
      </c>
      <c r="BS2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BC8A-0E8A-411F-9C71-EA84F7C22E73}">
  <sheetPr codeName="Arkusz5"/>
  <dimension ref="A1:AR47"/>
  <sheetViews>
    <sheetView topLeftCell="A4" workbookViewId="0">
      <selection activeCell="I19" sqref="I19"/>
    </sheetView>
  </sheetViews>
  <sheetFormatPr defaultRowHeight="15" x14ac:dyDescent="0.25"/>
  <sheetData>
    <row r="1" spans="1:44" x14ac:dyDescent="0.25"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1:44" x14ac:dyDescent="0.25"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</row>
    <row r="3" spans="1:44" x14ac:dyDescent="0.25"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</row>
    <row r="4" spans="1:44" x14ac:dyDescent="0.25">
      <c r="B4" s="2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4" x14ac:dyDescent="0.25">
      <c r="A5" s="2" t="s">
        <v>0</v>
      </c>
      <c r="B5" s="11">
        <f t="shared" ref="B5:G12" si="0">AVERAGE(J5,Q5,X5,AE5,AL5)</f>
        <v>0.98599999999999999</v>
      </c>
      <c r="C5" s="12">
        <f t="shared" ref="C5:C10" si="1">AVERAGE(K5,R5,Y5,AF5,AM5)</f>
        <v>0</v>
      </c>
      <c r="D5" s="12">
        <f t="shared" ref="D5:D10" si="2">AVERAGE(L5,S5,Z5,AG5,AN5)</f>
        <v>2E-3</v>
      </c>
      <c r="E5" s="12">
        <f t="shared" ref="E5:E10" si="3">AVERAGE(M5,T5,AA5,AH5,AO5)</f>
        <v>0</v>
      </c>
      <c r="F5" s="12">
        <f t="shared" ref="F5:F10" si="4">AVERAGE(N5,U5,AB5,AI5,AP5)</f>
        <v>2E-3</v>
      </c>
      <c r="G5" s="12">
        <f t="shared" ref="G5:G9" si="5">AVERAGE(O5,V5,AC5,AJ5,AQ5)</f>
        <v>0.01</v>
      </c>
      <c r="H5" s="1"/>
      <c r="I5" s="2"/>
      <c r="J5" s="2">
        <v>0.99</v>
      </c>
      <c r="K5" s="2">
        <v>0</v>
      </c>
      <c r="L5" s="2">
        <v>0</v>
      </c>
      <c r="M5" s="2">
        <v>0</v>
      </c>
      <c r="N5" s="2">
        <v>0</v>
      </c>
      <c r="O5" s="2">
        <v>0.01</v>
      </c>
      <c r="P5" s="2"/>
      <c r="Q5" s="2">
        <v>0.96</v>
      </c>
      <c r="R5" s="2">
        <v>0</v>
      </c>
      <c r="S5" s="2">
        <v>0</v>
      </c>
      <c r="T5" s="2">
        <v>0</v>
      </c>
      <c r="U5" s="2">
        <v>0.01</v>
      </c>
      <c r="V5" s="2">
        <v>0.03</v>
      </c>
      <c r="W5" s="2"/>
      <c r="X5" s="2">
        <v>0.99</v>
      </c>
      <c r="Y5" s="2">
        <v>0</v>
      </c>
      <c r="Z5" s="2">
        <v>0.01</v>
      </c>
      <c r="AA5" s="2">
        <v>0</v>
      </c>
      <c r="AB5" s="2">
        <v>0</v>
      </c>
      <c r="AC5" s="2">
        <v>0</v>
      </c>
      <c r="AD5" s="2"/>
      <c r="AE5" s="2">
        <v>0.99</v>
      </c>
      <c r="AF5" s="2">
        <v>0</v>
      </c>
      <c r="AG5" s="2">
        <v>0</v>
      </c>
      <c r="AH5" s="2">
        <v>0</v>
      </c>
      <c r="AI5" s="2">
        <v>0</v>
      </c>
      <c r="AJ5" s="2">
        <v>0.01</v>
      </c>
      <c r="AK5" s="2"/>
      <c r="AL5" s="2">
        <v>1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</row>
    <row r="6" spans="1:44" x14ac:dyDescent="0.25">
      <c r="A6" t="s">
        <v>2</v>
      </c>
      <c r="B6" s="12">
        <f t="shared" ref="B6:B10" si="6">AVERAGE(J6,Q6,X6,AE6,AL6)</f>
        <v>0</v>
      </c>
      <c r="C6" s="11">
        <f t="shared" si="0"/>
        <v>0.97999999999999987</v>
      </c>
      <c r="D6" s="12">
        <f t="shared" si="2"/>
        <v>0.01</v>
      </c>
      <c r="E6" s="12">
        <f t="shared" si="3"/>
        <v>4.0000000000000001E-3</v>
      </c>
      <c r="F6" s="12">
        <f t="shared" si="4"/>
        <v>4.0000000000000001E-3</v>
      </c>
      <c r="G6" s="12">
        <f t="shared" si="5"/>
        <v>4.0000000000000001E-3</v>
      </c>
      <c r="H6" s="2"/>
      <c r="I6" s="2"/>
      <c r="J6" s="2">
        <v>0</v>
      </c>
      <c r="K6" s="2">
        <v>0.98</v>
      </c>
      <c r="L6" s="2">
        <v>0</v>
      </c>
      <c r="M6" s="2">
        <v>0.02</v>
      </c>
      <c r="N6" s="2">
        <v>0</v>
      </c>
      <c r="O6" s="2">
        <v>0</v>
      </c>
      <c r="P6" s="2"/>
      <c r="Q6" s="2">
        <v>0</v>
      </c>
      <c r="R6" s="2">
        <v>0.98</v>
      </c>
      <c r="S6" s="2">
        <v>0.02</v>
      </c>
      <c r="T6" s="2">
        <v>0</v>
      </c>
      <c r="U6" s="2">
        <v>0</v>
      </c>
      <c r="V6" s="2">
        <v>0</v>
      </c>
      <c r="W6" s="2"/>
      <c r="X6" s="2">
        <v>0</v>
      </c>
      <c r="Y6" s="2">
        <v>0.97</v>
      </c>
      <c r="Z6" s="2">
        <v>0.03</v>
      </c>
      <c r="AA6" s="2">
        <v>0</v>
      </c>
      <c r="AB6" s="2">
        <v>0</v>
      </c>
      <c r="AC6" s="2">
        <v>0</v>
      </c>
      <c r="AD6" s="2"/>
      <c r="AE6" s="2">
        <v>0</v>
      </c>
      <c r="AF6" s="2">
        <v>0.97</v>
      </c>
      <c r="AG6" s="2">
        <v>0</v>
      </c>
      <c r="AH6" s="2">
        <v>0</v>
      </c>
      <c r="AI6" s="2">
        <v>0.02</v>
      </c>
      <c r="AJ6" s="2">
        <v>0.02</v>
      </c>
      <c r="AK6" s="2"/>
      <c r="AL6" s="2">
        <v>0</v>
      </c>
      <c r="AM6" s="2">
        <v>1</v>
      </c>
      <c r="AN6" s="2">
        <v>0</v>
      </c>
      <c r="AO6" s="2">
        <v>0</v>
      </c>
      <c r="AP6" s="2">
        <v>0</v>
      </c>
      <c r="AQ6" s="2">
        <v>0</v>
      </c>
    </row>
    <row r="7" spans="1:44" x14ac:dyDescent="0.25">
      <c r="A7" t="s">
        <v>1</v>
      </c>
      <c r="B7" s="12">
        <f t="shared" si="6"/>
        <v>2E-3</v>
      </c>
      <c r="C7" s="12">
        <f t="shared" si="1"/>
        <v>0.01</v>
      </c>
      <c r="D7" s="11">
        <f t="shared" si="0"/>
        <v>0.97</v>
      </c>
      <c r="E7" s="12">
        <f t="shared" si="3"/>
        <v>0.01</v>
      </c>
      <c r="F7" s="12">
        <f t="shared" si="4"/>
        <v>4.0000000000000001E-3</v>
      </c>
      <c r="G7" s="12">
        <f t="shared" si="5"/>
        <v>0</v>
      </c>
      <c r="H7" s="2"/>
      <c r="I7" s="2"/>
      <c r="J7" s="2">
        <v>0</v>
      </c>
      <c r="K7" s="2">
        <v>0.03</v>
      </c>
      <c r="L7" s="2">
        <v>0.96</v>
      </c>
      <c r="M7" s="2">
        <v>0</v>
      </c>
      <c r="N7" s="2">
        <v>0.01</v>
      </c>
      <c r="O7" s="2">
        <v>0</v>
      </c>
      <c r="P7" s="2"/>
      <c r="Q7" s="2">
        <v>0</v>
      </c>
      <c r="R7" s="2">
        <v>0</v>
      </c>
      <c r="S7" s="2">
        <v>0.99</v>
      </c>
      <c r="T7" s="2">
        <v>0.01</v>
      </c>
      <c r="U7" s="2">
        <v>0</v>
      </c>
      <c r="V7" s="2">
        <v>0</v>
      </c>
      <c r="W7" s="2"/>
      <c r="X7" s="2">
        <v>0</v>
      </c>
      <c r="Y7" s="2">
        <v>0</v>
      </c>
      <c r="Z7" s="2">
        <v>0.97</v>
      </c>
      <c r="AA7" s="2">
        <v>0.03</v>
      </c>
      <c r="AB7" s="2">
        <v>0</v>
      </c>
      <c r="AC7" s="2">
        <v>0</v>
      </c>
      <c r="AD7" s="2"/>
      <c r="AE7" s="2">
        <v>0.01</v>
      </c>
      <c r="AF7" s="2">
        <v>0.01</v>
      </c>
      <c r="AG7" s="2">
        <v>0.96</v>
      </c>
      <c r="AH7" s="2">
        <v>0.01</v>
      </c>
      <c r="AI7" s="2">
        <v>0</v>
      </c>
      <c r="AJ7" s="2">
        <v>0</v>
      </c>
      <c r="AK7" s="2"/>
      <c r="AL7" s="2">
        <v>0</v>
      </c>
      <c r="AM7" s="2">
        <v>0.01</v>
      </c>
      <c r="AN7" s="2">
        <v>0.97</v>
      </c>
      <c r="AO7" s="2">
        <v>0</v>
      </c>
      <c r="AP7" s="2">
        <v>0.01</v>
      </c>
      <c r="AQ7" s="2">
        <v>0</v>
      </c>
    </row>
    <row r="8" spans="1:44" x14ac:dyDescent="0.25">
      <c r="A8" t="s">
        <v>3</v>
      </c>
      <c r="B8" s="12">
        <f t="shared" si="6"/>
        <v>8.2000000000000003E-2</v>
      </c>
      <c r="C8" s="12">
        <f t="shared" si="1"/>
        <v>7.400000000000001E-2</v>
      </c>
      <c r="D8" s="12">
        <f t="shared" si="2"/>
        <v>9.1999999999999998E-2</v>
      </c>
      <c r="E8" s="11">
        <f t="shared" si="0"/>
        <v>0.68</v>
      </c>
      <c r="F8" s="12">
        <f t="shared" si="4"/>
        <v>2.7999999999999997E-2</v>
      </c>
      <c r="G8" s="12">
        <f t="shared" si="5"/>
        <v>4.5999999999999999E-2</v>
      </c>
      <c r="H8" s="2"/>
      <c r="I8" s="2"/>
      <c r="J8" s="2">
        <v>0.08</v>
      </c>
      <c r="K8" s="2">
        <v>7.0000000000000007E-2</v>
      </c>
      <c r="L8" s="2">
        <v>0.05</v>
      </c>
      <c r="M8" s="2">
        <v>0.73</v>
      </c>
      <c r="N8" s="2">
        <v>0.02</v>
      </c>
      <c r="O8" s="2">
        <v>0.05</v>
      </c>
      <c r="P8" s="2"/>
      <c r="Q8" s="2">
        <v>0.1</v>
      </c>
      <c r="R8" s="2">
        <v>0.08</v>
      </c>
      <c r="S8" s="2">
        <v>7.0000000000000007E-2</v>
      </c>
      <c r="T8" s="2">
        <v>0.66</v>
      </c>
      <c r="U8" s="2">
        <v>0.04</v>
      </c>
      <c r="V8" s="2">
        <v>0.05</v>
      </c>
      <c r="W8" s="2"/>
      <c r="X8" s="2">
        <v>0.06</v>
      </c>
      <c r="Y8" s="2">
        <v>0.09</v>
      </c>
      <c r="Z8" s="2">
        <v>0.18</v>
      </c>
      <c r="AA8" s="2">
        <v>0.64</v>
      </c>
      <c r="AB8" s="2">
        <v>0.01</v>
      </c>
      <c r="AC8" s="2">
        <v>0.03</v>
      </c>
      <c r="AD8" s="2"/>
      <c r="AE8" s="2">
        <v>0.08</v>
      </c>
      <c r="AF8" s="2">
        <v>0.06</v>
      </c>
      <c r="AG8" s="2">
        <v>0.08</v>
      </c>
      <c r="AH8" s="2">
        <v>0.69</v>
      </c>
      <c r="AI8" s="2">
        <v>0.04</v>
      </c>
      <c r="AJ8" s="2">
        <v>0.05</v>
      </c>
      <c r="AK8" s="2"/>
      <c r="AL8" s="2">
        <v>0.09</v>
      </c>
      <c r="AM8" s="2">
        <v>7.0000000000000007E-2</v>
      </c>
      <c r="AN8" s="2">
        <v>0.08</v>
      </c>
      <c r="AO8" s="2">
        <v>0.68</v>
      </c>
      <c r="AP8" s="2">
        <v>0.03</v>
      </c>
      <c r="AQ8" s="2">
        <v>0.05</v>
      </c>
    </row>
    <row r="9" spans="1:44" x14ac:dyDescent="0.25">
      <c r="A9" t="s">
        <v>4</v>
      </c>
      <c r="B9" s="12">
        <f t="shared" si="6"/>
        <v>0.11000000000000001</v>
      </c>
      <c r="C9" s="12">
        <f t="shared" si="1"/>
        <v>0.14800000000000002</v>
      </c>
      <c r="D9" s="12">
        <f t="shared" si="2"/>
        <v>0.14800000000000002</v>
      </c>
      <c r="E9" s="12">
        <f t="shared" si="3"/>
        <v>0.122</v>
      </c>
      <c r="F9" s="11">
        <f t="shared" si="0"/>
        <v>0.30399999999999999</v>
      </c>
      <c r="G9" s="12">
        <f t="shared" si="5"/>
        <v>0.16800000000000001</v>
      </c>
      <c r="H9" s="2"/>
      <c r="I9" s="2"/>
      <c r="J9" s="2">
        <v>0.11</v>
      </c>
      <c r="K9" s="2">
        <v>0.13</v>
      </c>
      <c r="L9" s="2">
        <v>0.14000000000000001</v>
      </c>
      <c r="M9" s="2">
        <v>0.16</v>
      </c>
      <c r="N9" s="2">
        <v>0.25</v>
      </c>
      <c r="O9" s="2">
        <v>0.2</v>
      </c>
      <c r="P9" s="2"/>
      <c r="Q9" s="2">
        <v>7.0000000000000007E-2</v>
      </c>
      <c r="R9" s="2">
        <v>0.14000000000000001</v>
      </c>
      <c r="S9" s="2">
        <v>0.14000000000000001</v>
      </c>
      <c r="T9" s="2">
        <v>0.12</v>
      </c>
      <c r="U9" s="2">
        <v>0.36</v>
      </c>
      <c r="V9" s="2">
        <v>0.17</v>
      </c>
      <c r="W9" s="2"/>
      <c r="X9" s="2">
        <v>0.13</v>
      </c>
      <c r="Y9" s="2">
        <v>0.15</v>
      </c>
      <c r="Z9" s="2">
        <v>0.3</v>
      </c>
      <c r="AA9" s="2">
        <v>0.11</v>
      </c>
      <c r="AB9" s="2">
        <v>0.17</v>
      </c>
      <c r="AC9" s="2">
        <v>0.14000000000000001</v>
      </c>
      <c r="AD9" s="2"/>
      <c r="AE9" s="2">
        <v>0.12</v>
      </c>
      <c r="AF9" s="2">
        <v>0.18</v>
      </c>
      <c r="AG9" s="2">
        <v>0.06</v>
      </c>
      <c r="AH9" s="2">
        <v>0.11</v>
      </c>
      <c r="AI9" s="2">
        <v>0.38</v>
      </c>
      <c r="AJ9" s="2">
        <v>0.15</v>
      </c>
      <c r="AK9" s="2"/>
      <c r="AL9" s="2">
        <v>0.12</v>
      </c>
      <c r="AM9" s="2">
        <v>0.14000000000000001</v>
      </c>
      <c r="AN9" s="2">
        <v>0.1</v>
      </c>
      <c r="AO9" s="2">
        <v>0.11</v>
      </c>
      <c r="AP9" s="2">
        <v>0.36</v>
      </c>
      <c r="AQ9" s="2">
        <v>0.18</v>
      </c>
    </row>
    <row r="10" spans="1:44" x14ac:dyDescent="0.25">
      <c r="A10" t="s">
        <v>5</v>
      </c>
      <c r="B10" s="12">
        <f t="shared" si="6"/>
        <v>3.2000000000000001E-2</v>
      </c>
      <c r="C10" s="12">
        <f t="shared" si="1"/>
        <v>4.0000000000000001E-3</v>
      </c>
      <c r="D10" s="12">
        <f t="shared" si="2"/>
        <v>1.6E-2</v>
      </c>
      <c r="E10" s="12">
        <f t="shared" si="3"/>
        <v>2E-3</v>
      </c>
      <c r="F10" s="12">
        <f t="shared" si="4"/>
        <v>6.0000000000000001E-3</v>
      </c>
      <c r="G10" s="11">
        <f t="shared" si="0"/>
        <v>0.93399999999999994</v>
      </c>
      <c r="H10" s="2"/>
      <c r="I10" s="2"/>
      <c r="J10" s="2">
        <v>0.03</v>
      </c>
      <c r="K10" s="2">
        <v>0</v>
      </c>
      <c r="L10" s="2">
        <v>0.01</v>
      </c>
      <c r="M10" s="2">
        <v>0</v>
      </c>
      <c r="N10" s="2">
        <v>0</v>
      </c>
      <c r="O10" s="2">
        <v>0.95</v>
      </c>
      <c r="P10" s="2"/>
      <c r="Q10" s="2">
        <v>0.01</v>
      </c>
      <c r="R10" s="2">
        <v>0.01</v>
      </c>
      <c r="S10" s="2">
        <v>0.01</v>
      </c>
      <c r="T10" s="2">
        <v>0</v>
      </c>
      <c r="U10" s="2">
        <v>0.02</v>
      </c>
      <c r="V10" s="2">
        <v>0.94</v>
      </c>
      <c r="W10" s="2"/>
      <c r="X10" s="2">
        <v>0.02</v>
      </c>
      <c r="Y10" s="2">
        <v>0.01</v>
      </c>
      <c r="Z10" s="2">
        <v>0.06</v>
      </c>
      <c r="AA10" s="2">
        <v>0</v>
      </c>
      <c r="AB10" s="2">
        <v>0</v>
      </c>
      <c r="AC10" s="2">
        <v>0.91</v>
      </c>
      <c r="AD10" s="2"/>
      <c r="AE10" s="2">
        <v>0.02</v>
      </c>
      <c r="AF10" s="2">
        <v>0</v>
      </c>
      <c r="AG10" s="2">
        <v>0</v>
      </c>
      <c r="AH10" s="2">
        <v>0.01</v>
      </c>
      <c r="AI10" s="2">
        <v>0</v>
      </c>
      <c r="AJ10" s="2">
        <v>0.96</v>
      </c>
      <c r="AK10" s="2"/>
      <c r="AL10" s="2">
        <v>0.08</v>
      </c>
      <c r="AM10" s="2">
        <v>0</v>
      </c>
      <c r="AN10" s="2">
        <v>0</v>
      </c>
      <c r="AO10" s="2">
        <v>0</v>
      </c>
      <c r="AP10" s="2">
        <v>0.01</v>
      </c>
      <c r="AQ10" s="2">
        <v>0.91</v>
      </c>
    </row>
    <row r="11" spans="1:44" x14ac:dyDescent="0.25">
      <c r="B11" s="12"/>
      <c r="C11" s="12"/>
      <c r="D11" s="12"/>
      <c r="E11" s="12"/>
      <c r="F11" s="12"/>
      <c r="G11" s="1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4" x14ac:dyDescent="0.25">
      <c r="B12" s="11">
        <f t="shared" si="0"/>
        <v>0.80800000000000005</v>
      </c>
      <c r="I12" s="2"/>
      <c r="J12" s="2">
        <v>0.81</v>
      </c>
      <c r="K12" s="2"/>
      <c r="L12" s="2"/>
      <c r="M12" s="2"/>
      <c r="N12" s="2"/>
      <c r="O12" s="2"/>
      <c r="P12" s="2"/>
      <c r="Q12" s="2">
        <v>0.81</v>
      </c>
      <c r="R12" s="2"/>
      <c r="S12" s="2"/>
      <c r="T12" s="2"/>
      <c r="U12" s="2"/>
      <c r="V12" s="2"/>
      <c r="W12" s="2"/>
      <c r="X12" s="2">
        <v>0.78</v>
      </c>
      <c r="Y12" s="2"/>
      <c r="Z12" s="2"/>
      <c r="AA12" s="2"/>
      <c r="AB12" s="2"/>
      <c r="AC12" s="2"/>
      <c r="AD12" s="2"/>
      <c r="AE12" s="2">
        <v>0.82</v>
      </c>
      <c r="AF12" s="2"/>
      <c r="AG12" s="2"/>
      <c r="AH12" s="2"/>
      <c r="AI12" s="2"/>
      <c r="AJ12" s="2"/>
      <c r="AK12" s="2"/>
      <c r="AL12" s="2">
        <v>0.82</v>
      </c>
      <c r="AM12" s="2"/>
      <c r="AN12" s="2"/>
      <c r="AO12" s="2"/>
      <c r="AP12" s="2"/>
      <c r="AQ12" s="2"/>
    </row>
    <row r="13" spans="1:44" x14ac:dyDescent="0.25">
      <c r="B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4" x14ac:dyDescent="0.25">
      <c r="B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4" x14ac:dyDescent="0.25">
      <c r="B15" s="2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4" x14ac:dyDescent="0.25">
      <c r="A16" s="2" t="s">
        <v>0</v>
      </c>
      <c r="B16" s="5">
        <f t="shared" ref="B16" si="7">AVERAGE(J16,Q16,X16,AE16,AL16)</f>
        <v>0.64399999999999991</v>
      </c>
      <c r="C16" s="1">
        <f t="shared" ref="C16:C21" si="8">AVERAGE(K16,R16,Y16,AF16,AM16)</f>
        <v>1.2E-2</v>
      </c>
      <c r="D16" s="1">
        <f t="shared" ref="D16:D21" si="9">AVERAGE(L16,S16,Z16,AG16,AN16)</f>
        <v>6.7999999999999991E-2</v>
      </c>
      <c r="E16" s="1">
        <f t="shared" ref="E16:E21" si="10">AVERAGE(M16,T16,AA16,AH16,AO16)</f>
        <v>6.7999999999999991E-2</v>
      </c>
      <c r="F16" s="1">
        <f t="shared" ref="F16:F20" si="11">AVERAGE(N16,U16,AB16,AI16,AP16)</f>
        <v>0.06</v>
      </c>
      <c r="G16" s="1">
        <f>AVERAGE(O16,V16,AC16,AJ16,AQ16)</f>
        <v>0.158</v>
      </c>
      <c r="I16" s="2"/>
      <c r="J16" s="2">
        <v>0.67</v>
      </c>
      <c r="K16" s="2">
        <v>0.06</v>
      </c>
      <c r="L16" s="2">
        <v>0</v>
      </c>
      <c r="M16" s="2">
        <v>0</v>
      </c>
      <c r="N16" s="2">
        <v>0</v>
      </c>
      <c r="O16" s="2">
        <v>0.28000000000000003</v>
      </c>
      <c r="P16" s="2"/>
      <c r="Q16" s="2">
        <v>0.63</v>
      </c>
      <c r="R16" s="2">
        <v>0</v>
      </c>
      <c r="S16" s="2">
        <v>0</v>
      </c>
      <c r="T16" s="2">
        <v>0.13</v>
      </c>
      <c r="U16" s="2">
        <v>0.13</v>
      </c>
      <c r="V16" s="2">
        <v>0.13</v>
      </c>
      <c r="W16" s="2"/>
      <c r="X16" s="2">
        <v>0.74</v>
      </c>
      <c r="Y16" s="2">
        <v>0</v>
      </c>
      <c r="Z16" s="2">
        <v>0.05</v>
      </c>
      <c r="AA16" s="2">
        <v>0.05</v>
      </c>
      <c r="AB16" s="2">
        <v>0.05</v>
      </c>
      <c r="AC16" s="2">
        <v>0.11</v>
      </c>
      <c r="AD16" s="2"/>
      <c r="AE16" s="2">
        <v>0.65</v>
      </c>
      <c r="AF16" s="2">
        <v>0</v>
      </c>
      <c r="AG16" s="2">
        <v>0.18</v>
      </c>
      <c r="AH16" s="2">
        <v>0</v>
      </c>
      <c r="AI16" s="2">
        <v>0.12</v>
      </c>
      <c r="AJ16" s="2">
        <v>0.06</v>
      </c>
      <c r="AK16" s="2"/>
      <c r="AL16" s="2">
        <v>0.53</v>
      </c>
      <c r="AM16" s="2">
        <v>0</v>
      </c>
      <c r="AN16" s="2">
        <v>0.11</v>
      </c>
      <c r="AO16" s="2">
        <v>0.16</v>
      </c>
      <c r="AP16" s="2">
        <v>0</v>
      </c>
      <c r="AQ16" s="2">
        <v>0.21</v>
      </c>
    </row>
    <row r="17" spans="1:43" x14ac:dyDescent="0.25">
      <c r="A17" t="s">
        <v>2</v>
      </c>
      <c r="B17" s="1">
        <f t="shared" ref="B17:B21" si="12">AVERAGE(J17,Q17,X17,AE17,AL17)</f>
        <v>0.02</v>
      </c>
      <c r="C17" s="5">
        <f t="shared" si="8"/>
        <v>0.48799999999999988</v>
      </c>
      <c r="D17" s="1">
        <f t="shared" si="9"/>
        <v>0.28000000000000003</v>
      </c>
      <c r="E17" s="1">
        <f t="shared" si="10"/>
        <v>9.6000000000000002E-2</v>
      </c>
      <c r="F17" s="1">
        <f t="shared" si="11"/>
        <v>6.4000000000000001E-2</v>
      </c>
      <c r="G17" s="1">
        <f t="shared" ref="G17:G21" si="13">AVERAGE(O17,V17,AC17,AJ17,AQ17)</f>
        <v>5.2000000000000005E-2</v>
      </c>
      <c r="I17" s="2"/>
      <c r="J17" s="2">
        <v>0</v>
      </c>
      <c r="K17" s="2">
        <v>0.35</v>
      </c>
      <c r="L17" s="2">
        <v>0.18</v>
      </c>
      <c r="M17" s="2">
        <v>0.24</v>
      </c>
      <c r="N17" s="2">
        <v>0.12</v>
      </c>
      <c r="O17" s="2">
        <v>0.12</v>
      </c>
      <c r="P17" s="2"/>
      <c r="Q17" s="2">
        <v>0.1</v>
      </c>
      <c r="R17" s="2">
        <v>0.5</v>
      </c>
      <c r="S17" s="2">
        <v>0.3</v>
      </c>
      <c r="T17" s="2">
        <v>0.1</v>
      </c>
      <c r="U17" s="2">
        <v>0</v>
      </c>
      <c r="V17" s="2">
        <v>0</v>
      </c>
      <c r="W17" s="2"/>
      <c r="X17" s="2">
        <v>0</v>
      </c>
      <c r="Y17" s="2">
        <v>0.7</v>
      </c>
      <c r="Z17" s="2">
        <v>0.3</v>
      </c>
      <c r="AA17" s="2">
        <v>0</v>
      </c>
      <c r="AB17" s="2">
        <v>0</v>
      </c>
      <c r="AC17" s="2">
        <v>0</v>
      </c>
      <c r="AD17" s="2"/>
      <c r="AE17" s="2">
        <v>0</v>
      </c>
      <c r="AF17" s="2">
        <v>0.47</v>
      </c>
      <c r="AG17" s="2">
        <v>0.28999999999999998</v>
      </c>
      <c r="AH17" s="2">
        <v>0.06</v>
      </c>
      <c r="AI17" s="2">
        <v>0.12</v>
      </c>
      <c r="AJ17" s="2">
        <v>0.06</v>
      </c>
      <c r="AK17" s="2"/>
      <c r="AL17" s="2">
        <v>0</v>
      </c>
      <c r="AM17" s="2">
        <v>0.42</v>
      </c>
      <c r="AN17" s="2">
        <v>0.33</v>
      </c>
      <c r="AO17" s="2">
        <v>0.08</v>
      </c>
      <c r="AP17" s="2">
        <v>0.08</v>
      </c>
      <c r="AQ17" s="2">
        <v>0.08</v>
      </c>
    </row>
    <row r="18" spans="1:43" x14ac:dyDescent="0.25">
      <c r="A18" t="s">
        <v>1</v>
      </c>
      <c r="B18" s="1">
        <f>AVERAGE(J18,Q18,X18,AE18,AL18)</f>
        <v>7.8E-2</v>
      </c>
      <c r="C18" s="1">
        <f t="shared" si="8"/>
        <v>0.188</v>
      </c>
      <c r="D18" s="5">
        <f t="shared" si="9"/>
        <v>0.502</v>
      </c>
      <c r="E18" s="1">
        <f t="shared" si="10"/>
        <v>0.15200000000000002</v>
      </c>
      <c r="F18" s="1">
        <f t="shared" si="11"/>
        <v>4.5999999999999999E-2</v>
      </c>
      <c r="G18" s="1">
        <f t="shared" si="13"/>
        <v>3.4000000000000002E-2</v>
      </c>
      <c r="I18" s="2"/>
      <c r="J18" s="2">
        <v>0.04</v>
      </c>
      <c r="K18" s="2">
        <v>0.26</v>
      </c>
      <c r="L18" s="2">
        <v>0.35</v>
      </c>
      <c r="M18" s="2">
        <v>0.17</v>
      </c>
      <c r="N18" s="2">
        <v>0</v>
      </c>
      <c r="O18" s="2">
        <v>0.17</v>
      </c>
      <c r="P18" s="2"/>
      <c r="Q18" s="2">
        <v>0.09</v>
      </c>
      <c r="R18" s="2">
        <v>0.26</v>
      </c>
      <c r="S18" s="2">
        <v>0.39</v>
      </c>
      <c r="T18" s="2">
        <v>0.22</v>
      </c>
      <c r="U18" s="2">
        <v>0.04</v>
      </c>
      <c r="V18" s="2">
        <v>0</v>
      </c>
      <c r="W18" s="2"/>
      <c r="X18" s="2">
        <v>0.13</v>
      </c>
      <c r="Y18" s="2">
        <v>7.0000000000000007E-2</v>
      </c>
      <c r="Z18" s="2">
        <v>0.67</v>
      </c>
      <c r="AA18" s="2">
        <v>0.13</v>
      </c>
      <c r="AB18" s="2">
        <v>0</v>
      </c>
      <c r="AC18" s="2">
        <v>0</v>
      </c>
      <c r="AD18" s="2"/>
      <c r="AE18" s="2">
        <v>7.0000000000000007E-2</v>
      </c>
      <c r="AF18" s="2">
        <v>0.13</v>
      </c>
      <c r="AG18" s="2">
        <v>0.6</v>
      </c>
      <c r="AH18" s="2">
        <v>7.0000000000000007E-2</v>
      </c>
      <c r="AI18" s="2">
        <v>0.13</v>
      </c>
      <c r="AJ18" s="2">
        <v>0</v>
      </c>
      <c r="AK18" s="2"/>
      <c r="AL18" s="2">
        <v>0.06</v>
      </c>
      <c r="AM18" s="2">
        <v>0.22</v>
      </c>
      <c r="AN18" s="2">
        <v>0.5</v>
      </c>
      <c r="AO18" s="2">
        <v>0.17</v>
      </c>
      <c r="AP18" s="2">
        <v>0.06</v>
      </c>
      <c r="AQ18" s="2">
        <v>0</v>
      </c>
    </row>
    <row r="19" spans="1:43" x14ac:dyDescent="0.25">
      <c r="A19" t="s">
        <v>3</v>
      </c>
      <c r="B19" s="1">
        <f t="shared" si="12"/>
        <v>0.13</v>
      </c>
      <c r="C19" s="1">
        <f t="shared" si="8"/>
        <v>0.13400000000000001</v>
      </c>
      <c r="D19" s="1">
        <f t="shared" si="9"/>
        <v>0.11800000000000002</v>
      </c>
      <c r="E19" s="5">
        <f t="shared" si="10"/>
        <v>0.47200000000000009</v>
      </c>
      <c r="F19" s="1">
        <f t="shared" si="11"/>
        <v>5.4000000000000006E-2</v>
      </c>
      <c r="G19" s="1">
        <f t="shared" si="13"/>
        <v>9.1999999999999998E-2</v>
      </c>
      <c r="H19" s="3"/>
      <c r="I19" s="2"/>
      <c r="J19" s="2">
        <v>0.22</v>
      </c>
      <c r="K19" s="2">
        <v>0.14000000000000001</v>
      </c>
      <c r="L19" s="2">
        <v>0.08</v>
      </c>
      <c r="M19" s="2">
        <v>0.47</v>
      </c>
      <c r="N19" s="2">
        <v>0.03</v>
      </c>
      <c r="O19" s="2">
        <v>0.08</v>
      </c>
      <c r="P19" s="2"/>
      <c r="Q19" s="2">
        <v>0.14000000000000001</v>
      </c>
      <c r="R19" s="2">
        <v>0.13</v>
      </c>
      <c r="S19" s="2">
        <v>0.14000000000000001</v>
      </c>
      <c r="T19" s="2">
        <v>0.45</v>
      </c>
      <c r="U19" s="2">
        <v>0.04</v>
      </c>
      <c r="V19" s="2">
        <v>0.09</v>
      </c>
      <c r="W19" s="2"/>
      <c r="X19" s="2">
        <v>0.11</v>
      </c>
      <c r="Y19" s="2">
        <v>0.14000000000000001</v>
      </c>
      <c r="Z19" s="2">
        <v>0.21</v>
      </c>
      <c r="AA19" s="2">
        <v>0.33</v>
      </c>
      <c r="AB19" s="2">
        <v>7.0000000000000007E-2</v>
      </c>
      <c r="AC19" s="2">
        <v>0.13</v>
      </c>
      <c r="AD19" s="2"/>
      <c r="AE19" s="2">
        <v>7.0000000000000007E-2</v>
      </c>
      <c r="AF19" s="2">
        <v>0.13</v>
      </c>
      <c r="AG19" s="2">
        <v>0.09</v>
      </c>
      <c r="AH19" s="2">
        <v>0.57999999999999996</v>
      </c>
      <c r="AI19" s="2">
        <v>0.06</v>
      </c>
      <c r="AJ19" s="2">
        <v>7.0000000000000007E-2</v>
      </c>
      <c r="AK19" s="2"/>
      <c r="AL19" s="2">
        <v>0.11</v>
      </c>
      <c r="AM19" s="2">
        <v>0.13</v>
      </c>
      <c r="AN19" s="2">
        <v>7.0000000000000007E-2</v>
      </c>
      <c r="AO19" s="2">
        <v>0.53</v>
      </c>
      <c r="AP19" s="2">
        <v>7.0000000000000007E-2</v>
      </c>
      <c r="AQ19" s="2">
        <v>0.09</v>
      </c>
    </row>
    <row r="20" spans="1:43" x14ac:dyDescent="0.25">
      <c r="A20" t="s">
        <v>4</v>
      </c>
      <c r="B20" s="1">
        <f t="shared" si="12"/>
        <v>0.13200000000000001</v>
      </c>
      <c r="C20" s="1">
        <f t="shared" si="8"/>
        <v>0.20600000000000002</v>
      </c>
      <c r="D20" s="1">
        <f t="shared" si="9"/>
        <v>0.15999999999999998</v>
      </c>
      <c r="E20" s="1">
        <f t="shared" si="10"/>
        <v>0.188</v>
      </c>
      <c r="F20" s="5">
        <f t="shared" si="11"/>
        <v>6.9999999999999993E-2</v>
      </c>
      <c r="G20" s="1">
        <f t="shared" si="13"/>
        <v>0.25</v>
      </c>
      <c r="I20" s="2"/>
      <c r="J20" s="2">
        <v>0.21</v>
      </c>
      <c r="K20" s="2">
        <v>0.21</v>
      </c>
      <c r="L20" s="2">
        <v>0.13</v>
      </c>
      <c r="M20" s="2">
        <v>0.18</v>
      </c>
      <c r="N20" s="2">
        <v>7.0000000000000007E-2</v>
      </c>
      <c r="O20" s="2">
        <v>0.21</v>
      </c>
      <c r="P20" s="2"/>
      <c r="Q20" s="2">
        <v>0.13</v>
      </c>
      <c r="R20" s="2">
        <v>0.21</v>
      </c>
      <c r="S20" s="2">
        <v>0.11</v>
      </c>
      <c r="T20" s="2">
        <v>0.24</v>
      </c>
      <c r="U20" s="2">
        <v>0.08</v>
      </c>
      <c r="V20" s="2">
        <v>0.24</v>
      </c>
      <c r="W20" s="2"/>
      <c r="X20" s="2">
        <v>0.06</v>
      </c>
      <c r="Y20" s="2">
        <v>0.2</v>
      </c>
      <c r="Z20" s="2">
        <v>0.26</v>
      </c>
      <c r="AA20" s="2">
        <v>0.13</v>
      </c>
      <c r="AB20" s="2">
        <v>0.06</v>
      </c>
      <c r="AC20" s="2">
        <v>0.28999999999999998</v>
      </c>
      <c r="AD20" s="2"/>
      <c r="AE20" s="2">
        <v>0.11</v>
      </c>
      <c r="AF20" s="2">
        <v>0.14000000000000001</v>
      </c>
      <c r="AG20" s="2">
        <v>0.22</v>
      </c>
      <c r="AH20" s="2">
        <v>0.19</v>
      </c>
      <c r="AI20" s="2">
        <v>0.04</v>
      </c>
      <c r="AJ20" s="2">
        <v>0.31</v>
      </c>
      <c r="AK20" s="2"/>
      <c r="AL20" s="2">
        <v>0.15</v>
      </c>
      <c r="AM20" s="2">
        <v>0.27</v>
      </c>
      <c r="AN20" s="2">
        <v>0.08</v>
      </c>
      <c r="AO20" s="2">
        <v>0.2</v>
      </c>
      <c r="AP20" s="2">
        <v>0.1</v>
      </c>
      <c r="AQ20" s="2">
        <v>0.2</v>
      </c>
    </row>
    <row r="21" spans="1:43" x14ac:dyDescent="0.25">
      <c r="A21" t="s">
        <v>5</v>
      </c>
      <c r="B21" s="1">
        <f t="shared" si="12"/>
        <v>0.20800000000000002</v>
      </c>
      <c r="C21" s="1">
        <f t="shared" si="8"/>
        <v>0.03</v>
      </c>
      <c r="D21" s="1">
        <f t="shared" si="9"/>
        <v>0.128</v>
      </c>
      <c r="E21" s="1">
        <f t="shared" si="10"/>
        <v>8.2000000000000003E-2</v>
      </c>
      <c r="F21" s="1">
        <f>AVERAGE(N21,U21,AB21,AI21,AP21)</f>
        <v>0.10600000000000001</v>
      </c>
      <c r="G21" s="5">
        <f t="shared" si="13"/>
        <v>0.45199999999999996</v>
      </c>
      <c r="I21" s="2"/>
      <c r="J21" s="2">
        <v>0.42</v>
      </c>
      <c r="K21" s="2">
        <v>0.04</v>
      </c>
      <c r="L21" s="2">
        <v>0</v>
      </c>
      <c r="M21" s="2">
        <v>0.04</v>
      </c>
      <c r="N21" s="2">
        <v>0</v>
      </c>
      <c r="O21" s="2">
        <v>0.5</v>
      </c>
      <c r="P21" s="2"/>
      <c r="Q21" s="2">
        <v>0.14000000000000001</v>
      </c>
      <c r="R21" s="2">
        <v>0.05</v>
      </c>
      <c r="S21" s="2">
        <v>0.14000000000000001</v>
      </c>
      <c r="T21" s="2">
        <v>0.14000000000000001</v>
      </c>
      <c r="U21" s="2">
        <v>0.14000000000000001</v>
      </c>
      <c r="V21" s="2">
        <v>0.41</v>
      </c>
      <c r="W21" s="2"/>
      <c r="X21" s="2">
        <v>0.19</v>
      </c>
      <c r="Y21" s="2">
        <v>0</v>
      </c>
      <c r="Z21" s="2">
        <v>0.24</v>
      </c>
      <c r="AA21" s="2">
        <v>0</v>
      </c>
      <c r="AB21" s="2">
        <v>0.05</v>
      </c>
      <c r="AC21" s="2">
        <v>0.52</v>
      </c>
      <c r="AD21" s="2"/>
      <c r="AE21" s="2">
        <v>0.12</v>
      </c>
      <c r="AF21" s="2">
        <v>0</v>
      </c>
      <c r="AG21" s="2">
        <v>0.04</v>
      </c>
      <c r="AH21" s="2">
        <v>0.12</v>
      </c>
      <c r="AI21" s="2">
        <v>0.28000000000000003</v>
      </c>
      <c r="AJ21" s="2">
        <v>0.44</v>
      </c>
      <c r="AK21" s="2"/>
      <c r="AL21" s="2">
        <v>0.17</v>
      </c>
      <c r="AM21" s="2">
        <v>0.06</v>
      </c>
      <c r="AN21" s="2">
        <v>0.22</v>
      </c>
      <c r="AO21" s="2">
        <v>0.11</v>
      </c>
      <c r="AP21" s="2">
        <v>0.06</v>
      </c>
      <c r="AQ21" s="2">
        <v>0.39</v>
      </c>
    </row>
    <row r="22" spans="1:43" x14ac:dyDescent="0.25">
      <c r="B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x14ac:dyDescent="0.25">
      <c r="B23" s="11">
        <f t="shared" ref="B23" si="14">AVERAGE(J23,Q23,X23,AE23,AL23)</f>
        <v>0.43600000000000005</v>
      </c>
      <c r="C23" s="12"/>
      <c r="I23" s="2"/>
      <c r="J23" s="2">
        <v>0.4</v>
      </c>
      <c r="K23" s="2"/>
      <c r="L23" s="2"/>
      <c r="M23" s="2"/>
      <c r="N23" s="2"/>
      <c r="O23" s="2"/>
      <c r="P23" s="2"/>
      <c r="Q23" s="2">
        <v>0.41</v>
      </c>
      <c r="R23" s="2"/>
      <c r="S23" s="2"/>
      <c r="T23" s="2"/>
      <c r="U23" s="2"/>
      <c r="V23" s="2"/>
      <c r="W23" s="2"/>
      <c r="X23" s="2">
        <v>0.5</v>
      </c>
      <c r="Y23" s="2"/>
      <c r="Z23" s="2"/>
      <c r="AA23" s="2"/>
      <c r="AB23" s="2"/>
      <c r="AC23" s="2"/>
      <c r="AD23" s="2"/>
      <c r="AE23" s="2">
        <v>0.46</v>
      </c>
      <c r="AF23" s="2"/>
      <c r="AG23" s="2"/>
      <c r="AH23" s="2"/>
      <c r="AI23" s="2"/>
      <c r="AJ23" s="2"/>
      <c r="AK23" s="2"/>
      <c r="AL23" s="2">
        <v>0.41</v>
      </c>
      <c r="AM23" s="2"/>
      <c r="AN23" s="2"/>
      <c r="AO23" s="2"/>
      <c r="AP23" s="2"/>
      <c r="AQ23" s="2"/>
    </row>
    <row r="24" spans="1:43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</row>
    <row r="47" spans="12:12" x14ac:dyDescent="0.25">
      <c r="L47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645C7-4DEB-4EFE-8D32-B3106CC5A9FC}">
  <sheetPr codeName="Arkusz10"/>
  <dimension ref="A4:AP23"/>
  <sheetViews>
    <sheetView topLeftCell="A4" workbookViewId="0">
      <selection activeCell="H11" sqref="H11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4">
        <f>AVERAGE(I5,P5,W5,AD5,AK5)</f>
        <v>0.98599999999999999</v>
      </c>
      <c r="C5" s="12">
        <f t="shared" ref="C5:G5" si="0">AVERAGE(J5,Q5,X5,AE5,AL5)</f>
        <v>0</v>
      </c>
      <c r="D5" s="12">
        <f t="shared" si="0"/>
        <v>2E-3</v>
      </c>
      <c r="E5" s="12">
        <f t="shared" si="0"/>
        <v>0</v>
      </c>
      <c r="F5" s="12">
        <f t="shared" si="0"/>
        <v>2E-3</v>
      </c>
      <c r="G5" s="12">
        <f t="shared" si="0"/>
        <v>0.01</v>
      </c>
      <c r="I5">
        <v>0.99</v>
      </c>
      <c r="J5">
        <v>0</v>
      </c>
      <c r="K5">
        <v>0</v>
      </c>
      <c r="L5">
        <v>0</v>
      </c>
      <c r="M5">
        <v>0</v>
      </c>
      <c r="N5">
        <v>0.01</v>
      </c>
      <c r="P5">
        <v>0.96</v>
      </c>
      <c r="Q5">
        <v>0</v>
      </c>
      <c r="R5">
        <v>0</v>
      </c>
      <c r="S5">
        <v>0</v>
      </c>
      <c r="T5">
        <v>0.01</v>
      </c>
      <c r="U5">
        <v>0.03</v>
      </c>
      <c r="W5">
        <v>0.99</v>
      </c>
      <c r="X5">
        <v>0</v>
      </c>
      <c r="Y5">
        <v>0.01</v>
      </c>
      <c r="Z5">
        <v>0</v>
      </c>
      <c r="AA5">
        <v>0</v>
      </c>
      <c r="AB5">
        <v>0</v>
      </c>
      <c r="AD5">
        <v>0.99</v>
      </c>
      <c r="AE5">
        <v>0</v>
      </c>
      <c r="AF5">
        <v>0</v>
      </c>
      <c r="AG5">
        <v>0</v>
      </c>
      <c r="AH5">
        <v>0</v>
      </c>
      <c r="AI5">
        <v>0.01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25">
      <c r="A6" t="s">
        <v>2</v>
      </c>
      <c r="B6" s="12">
        <f t="shared" ref="B6:B10" si="1">AVERAGE(I6,P6,W6,AD6,AK6)</f>
        <v>0</v>
      </c>
      <c r="C6" s="14">
        <f>AVERAGE(J6,Q6,X6,AE6,AL6)</f>
        <v>0.97999999999999987</v>
      </c>
      <c r="D6" s="12">
        <f t="shared" ref="D6:D10" si="2">AVERAGE(K6,R6,Y6,AF6,AM6)</f>
        <v>0.01</v>
      </c>
      <c r="E6" s="12">
        <f t="shared" ref="E6:E10" si="3">AVERAGE(L6,S6,Z6,AG6,AN6)</f>
        <v>4.0000000000000001E-3</v>
      </c>
      <c r="F6" s="12">
        <f t="shared" ref="F6:F10" si="4">AVERAGE(M6,T6,AA6,AH6,AO6)</f>
        <v>4.0000000000000001E-3</v>
      </c>
      <c r="G6" s="12">
        <f t="shared" ref="G6:G9" si="5">AVERAGE(N6,U6,AB6,AI6,AP6)</f>
        <v>4.0000000000000001E-3</v>
      </c>
      <c r="I6">
        <v>0</v>
      </c>
      <c r="J6">
        <v>0.98</v>
      </c>
      <c r="K6">
        <v>0</v>
      </c>
      <c r="L6">
        <v>0.02</v>
      </c>
      <c r="M6">
        <v>0</v>
      </c>
      <c r="N6">
        <v>0</v>
      </c>
      <c r="P6">
        <v>0</v>
      </c>
      <c r="Q6">
        <v>0.98</v>
      </c>
      <c r="R6">
        <v>0.02</v>
      </c>
      <c r="S6">
        <v>0</v>
      </c>
      <c r="T6">
        <v>0</v>
      </c>
      <c r="U6">
        <v>0</v>
      </c>
      <c r="W6">
        <v>0</v>
      </c>
      <c r="X6">
        <v>0.97</v>
      </c>
      <c r="Y6">
        <v>0.03</v>
      </c>
      <c r="Z6">
        <v>0</v>
      </c>
      <c r="AA6">
        <v>0</v>
      </c>
      <c r="AB6">
        <v>0</v>
      </c>
      <c r="AD6">
        <v>0</v>
      </c>
      <c r="AE6">
        <v>0.97</v>
      </c>
      <c r="AF6">
        <v>0</v>
      </c>
      <c r="AG6">
        <v>0</v>
      </c>
      <c r="AH6">
        <v>0.02</v>
      </c>
      <c r="AI6">
        <v>0.02</v>
      </c>
      <c r="AK6">
        <v>0</v>
      </c>
      <c r="AL6">
        <v>1</v>
      </c>
      <c r="AM6">
        <v>0</v>
      </c>
      <c r="AN6">
        <v>0</v>
      </c>
      <c r="AO6">
        <v>0</v>
      </c>
      <c r="AP6">
        <v>0</v>
      </c>
    </row>
    <row r="7" spans="1:42" x14ac:dyDescent="0.25">
      <c r="A7" t="s">
        <v>1</v>
      </c>
      <c r="B7" s="12">
        <f t="shared" si="1"/>
        <v>2E-3</v>
      </c>
      <c r="C7" s="12">
        <f t="shared" ref="C7:C10" si="6">AVERAGE(J7,Q7,X7,AE7,AL7)</f>
        <v>0.01</v>
      </c>
      <c r="D7" s="14">
        <f>AVERAGE(K7,R7,Y7,AF7,AM7)</f>
        <v>0.97</v>
      </c>
      <c r="E7" s="12">
        <f t="shared" si="3"/>
        <v>0.01</v>
      </c>
      <c r="F7" s="12">
        <f t="shared" si="4"/>
        <v>4.0000000000000001E-3</v>
      </c>
      <c r="G7" s="12">
        <f t="shared" si="5"/>
        <v>0</v>
      </c>
      <c r="I7">
        <v>0</v>
      </c>
      <c r="J7">
        <v>0.03</v>
      </c>
      <c r="K7">
        <v>0.96</v>
      </c>
      <c r="L7">
        <v>0</v>
      </c>
      <c r="M7">
        <v>0.01</v>
      </c>
      <c r="N7">
        <v>0</v>
      </c>
      <c r="P7">
        <v>0</v>
      </c>
      <c r="Q7">
        <v>0</v>
      </c>
      <c r="R7">
        <v>0.99</v>
      </c>
      <c r="S7">
        <v>0.01</v>
      </c>
      <c r="T7">
        <v>0</v>
      </c>
      <c r="U7">
        <v>0</v>
      </c>
      <c r="W7">
        <v>0</v>
      </c>
      <c r="X7">
        <v>0</v>
      </c>
      <c r="Y7">
        <v>0.97</v>
      </c>
      <c r="Z7">
        <v>0.03</v>
      </c>
      <c r="AA7">
        <v>0</v>
      </c>
      <c r="AB7">
        <v>0</v>
      </c>
      <c r="AD7">
        <v>0.01</v>
      </c>
      <c r="AE7">
        <v>0.01</v>
      </c>
      <c r="AF7">
        <v>0.96</v>
      </c>
      <c r="AG7">
        <v>0.01</v>
      </c>
      <c r="AH7">
        <v>0</v>
      </c>
      <c r="AI7">
        <v>0</v>
      </c>
      <c r="AK7">
        <v>0</v>
      </c>
      <c r="AL7">
        <v>0.01</v>
      </c>
      <c r="AM7">
        <v>0.97</v>
      </c>
      <c r="AN7">
        <v>0</v>
      </c>
      <c r="AO7">
        <v>0.01</v>
      </c>
      <c r="AP7">
        <v>0</v>
      </c>
    </row>
    <row r="8" spans="1:42" x14ac:dyDescent="0.25">
      <c r="A8" t="s">
        <v>3</v>
      </c>
      <c r="B8" s="12">
        <f t="shared" si="1"/>
        <v>8.2000000000000003E-2</v>
      </c>
      <c r="C8" s="12">
        <f t="shared" si="6"/>
        <v>7.400000000000001E-2</v>
      </c>
      <c r="D8" s="12">
        <f t="shared" si="2"/>
        <v>9.1999999999999998E-2</v>
      </c>
      <c r="E8" s="14">
        <f>AVERAGE(L8,S8,Z8,AG8,AN8)</f>
        <v>0.68</v>
      </c>
      <c r="F8" s="12">
        <f t="shared" si="4"/>
        <v>2.7999999999999997E-2</v>
      </c>
      <c r="G8" s="12">
        <f t="shared" si="5"/>
        <v>4.5999999999999999E-2</v>
      </c>
      <c r="I8">
        <v>0.08</v>
      </c>
      <c r="J8">
        <v>7.0000000000000007E-2</v>
      </c>
      <c r="K8">
        <v>0.05</v>
      </c>
      <c r="L8">
        <v>0.73</v>
      </c>
      <c r="M8">
        <v>0.02</v>
      </c>
      <c r="N8">
        <v>0.05</v>
      </c>
      <c r="P8">
        <v>0.1</v>
      </c>
      <c r="Q8">
        <v>0.08</v>
      </c>
      <c r="R8">
        <v>7.0000000000000007E-2</v>
      </c>
      <c r="S8">
        <v>0.66</v>
      </c>
      <c r="T8">
        <v>0.04</v>
      </c>
      <c r="U8">
        <v>0.05</v>
      </c>
      <c r="W8">
        <v>0.06</v>
      </c>
      <c r="X8">
        <v>0.09</v>
      </c>
      <c r="Y8">
        <v>0.18</v>
      </c>
      <c r="Z8">
        <v>0.64</v>
      </c>
      <c r="AA8">
        <v>0.01</v>
      </c>
      <c r="AB8">
        <v>0.03</v>
      </c>
      <c r="AD8">
        <v>0.08</v>
      </c>
      <c r="AE8">
        <v>0.06</v>
      </c>
      <c r="AF8">
        <v>0.08</v>
      </c>
      <c r="AG8">
        <v>0.69</v>
      </c>
      <c r="AH8">
        <v>0.04</v>
      </c>
      <c r="AI8">
        <v>0.05</v>
      </c>
      <c r="AK8">
        <v>0.09</v>
      </c>
      <c r="AL8">
        <v>7.0000000000000007E-2</v>
      </c>
      <c r="AM8">
        <v>0.08</v>
      </c>
      <c r="AN8">
        <v>0.68</v>
      </c>
      <c r="AO8">
        <v>0.03</v>
      </c>
      <c r="AP8">
        <v>0.05</v>
      </c>
    </row>
    <row r="9" spans="1:42" x14ac:dyDescent="0.25">
      <c r="A9" t="s">
        <v>4</v>
      </c>
      <c r="B9" s="12">
        <f t="shared" si="1"/>
        <v>0.11000000000000001</v>
      </c>
      <c r="C9" s="12">
        <f t="shared" si="6"/>
        <v>0.14800000000000002</v>
      </c>
      <c r="D9" s="12">
        <f t="shared" si="2"/>
        <v>0.14800000000000002</v>
      </c>
      <c r="E9" s="12">
        <f t="shared" si="3"/>
        <v>0.122</v>
      </c>
      <c r="F9" s="14">
        <f>AVERAGE(M9,T9,AA9,AH9,AO9)</f>
        <v>0.30399999999999999</v>
      </c>
      <c r="G9" s="12">
        <f t="shared" si="5"/>
        <v>0.16800000000000001</v>
      </c>
      <c r="I9">
        <v>0.11</v>
      </c>
      <c r="J9">
        <v>0.13</v>
      </c>
      <c r="K9">
        <v>0.14000000000000001</v>
      </c>
      <c r="L9">
        <v>0.16</v>
      </c>
      <c r="M9">
        <v>0.25</v>
      </c>
      <c r="N9">
        <v>0.2</v>
      </c>
      <c r="P9">
        <v>7.0000000000000007E-2</v>
      </c>
      <c r="Q9">
        <v>0.14000000000000001</v>
      </c>
      <c r="R9">
        <v>0.14000000000000001</v>
      </c>
      <c r="S9">
        <v>0.12</v>
      </c>
      <c r="T9">
        <v>0.36</v>
      </c>
      <c r="U9">
        <v>0.17</v>
      </c>
      <c r="W9">
        <v>0.13</v>
      </c>
      <c r="X9">
        <v>0.15</v>
      </c>
      <c r="Y9">
        <v>0.3</v>
      </c>
      <c r="Z9">
        <v>0.11</v>
      </c>
      <c r="AA9">
        <v>0.17</v>
      </c>
      <c r="AB9">
        <v>0.14000000000000001</v>
      </c>
      <c r="AD9">
        <v>0.12</v>
      </c>
      <c r="AE9">
        <v>0.18</v>
      </c>
      <c r="AF9">
        <v>0.06</v>
      </c>
      <c r="AG9">
        <v>0.11</v>
      </c>
      <c r="AH9">
        <v>0.38</v>
      </c>
      <c r="AI9">
        <v>0.15</v>
      </c>
      <c r="AK9">
        <v>0.12</v>
      </c>
      <c r="AL9">
        <v>0.14000000000000001</v>
      </c>
      <c r="AM9">
        <v>0.1</v>
      </c>
      <c r="AN9">
        <v>0.11</v>
      </c>
      <c r="AO9">
        <v>0.36</v>
      </c>
      <c r="AP9">
        <v>0.18</v>
      </c>
    </row>
    <row r="10" spans="1:42" x14ac:dyDescent="0.25">
      <c r="A10" t="s">
        <v>5</v>
      </c>
      <c r="B10" s="12">
        <f t="shared" si="1"/>
        <v>3.2000000000000001E-2</v>
      </c>
      <c r="C10" s="12">
        <f t="shared" si="6"/>
        <v>4.0000000000000001E-3</v>
      </c>
      <c r="D10" s="12">
        <f t="shared" si="2"/>
        <v>1.6E-2</v>
      </c>
      <c r="E10" s="12">
        <f t="shared" si="3"/>
        <v>2E-3</v>
      </c>
      <c r="F10" s="12">
        <f t="shared" si="4"/>
        <v>6.0000000000000001E-3</v>
      </c>
      <c r="G10" s="14">
        <f>AVERAGE(N10,U10,AB10,AI10,AP10)</f>
        <v>0.93399999999999994</v>
      </c>
      <c r="I10">
        <v>0.03</v>
      </c>
      <c r="J10">
        <v>0</v>
      </c>
      <c r="K10">
        <v>0.01</v>
      </c>
      <c r="L10">
        <v>0</v>
      </c>
      <c r="M10">
        <v>0</v>
      </c>
      <c r="N10">
        <v>0.95</v>
      </c>
      <c r="P10">
        <v>0.01</v>
      </c>
      <c r="Q10">
        <v>0.01</v>
      </c>
      <c r="R10">
        <v>0.01</v>
      </c>
      <c r="S10">
        <v>0</v>
      </c>
      <c r="T10">
        <v>0.02</v>
      </c>
      <c r="U10">
        <v>0.94</v>
      </c>
      <c r="W10">
        <v>0.02</v>
      </c>
      <c r="X10">
        <v>0.01</v>
      </c>
      <c r="Y10">
        <v>0.06</v>
      </c>
      <c r="Z10">
        <v>0</v>
      </c>
      <c r="AA10">
        <v>0</v>
      </c>
      <c r="AB10">
        <v>0.91</v>
      </c>
      <c r="AD10">
        <v>0.02</v>
      </c>
      <c r="AE10">
        <v>0</v>
      </c>
      <c r="AF10">
        <v>0</v>
      </c>
      <c r="AG10">
        <v>0.01</v>
      </c>
      <c r="AH10">
        <v>0</v>
      </c>
      <c r="AI10">
        <v>0.96</v>
      </c>
      <c r="AK10">
        <v>0.08</v>
      </c>
      <c r="AL10">
        <v>0</v>
      </c>
      <c r="AM10">
        <v>0</v>
      </c>
      <c r="AN10">
        <v>0</v>
      </c>
      <c r="AO10">
        <v>0.01</v>
      </c>
      <c r="AP10">
        <v>0.91</v>
      </c>
    </row>
    <row r="11" spans="1:42" x14ac:dyDescent="0.25">
      <c r="B11" s="12"/>
      <c r="C11" s="12"/>
      <c r="D11" s="12"/>
      <c r="E11" s="12"/>
      <c r="F11" s="12"/>
      <c r="G11" s="12"/>
    </row>
    <row r="12" spans="1:42" x14ac:dyDescent="0.25">
      <c r="B12" s="14">
        <f>AVERAGE(I12,P12,W12,AD12,AK12)</f>
        <v>0.80800000000000005</v>
      </c>
      <c r="C12" s="12"/>
      <c r="D12" s="12"/>
      <c r="E12" s="12"/>
      <c r="F12" s="12"/>
      <c r="G12" s="12"/>
      <c r="I12">
        <v>0.81</v>
      </c>
      <c r="P12">
        <v>0.81</v>
      </c>
      <c r="W12">
        <v>0.78</v>
      </c>
      <c r="AD12">
        <v>0.82</v>
      </c>
      <c r="AK12">
        <v>0.82</v>
      </c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0">
        <f>AVERAGE(I16,P16,W16,AD16,AK16)</f>
        <v>0.64399999999999991</v>
      </c>
      <c r="C16">
        <f t="shared" ref="C16:C21" si="7">AVERAGE(J16,Q16,X16,AE16,AL16)</f>
        <v>1.2E-2</v>
      </c>
      <c r="D16">
        <f t="shared" ref="D16:D21" si="8">AVERAGE(K16,R16,Y16,AF16,AM16)</f>
        <v>6.7999999999999991E-2</v>
      </c>
      <c r="E16">
        <f t="shared" ref="E16:E21" si="9">AVERAGE(L16,S16,Z16,AG16,AN16)</f>
        <v>6.7999999999999991E-2</v>
      </c>
      <c r="F16">
        <f t="shared" ref="F16:F21" si="10">AVERAGE(M16,T16,AA16,AH16,AO16)</f>
        <v>0.06</v>
      </c>
      <c r="G16">
        <f t="shared" ref="G16:G20" si="11">AVERAGE(N16,U16,AB16,AI16,AP16)</f>
        <v>0.158</v>
      </c>
      <c r="I16">
        <v>0.67</v>
      </c>
      <c r="J16">
        <v>0.06</v>
      </c>
      <c r="K16">
        <v>0</v>
      </c>
      <c r="L16">
        <v>0</v>
      </c>
      <c r="M16">
        <v>0</v>
      </c>
      <c r="N16">
        <v>0.28000000000000003</v>
      </c>
      <c r="P16">
        <v>0.63</v>
      </c>
      <c r="Q16">
        <v>0</v>
      </c>
      <c r="R16">
        <v>0</v>
      </c>
      <c r="S16">
        <v>0.13</v>
      </c>
      <c r="T16">
        <v>0.13</v>
      </c>
      <c r="U16">
        <v>0.13</v>
      </c>
      <c r="W16">
        <v>0.74</v>
      </c>
      <c r="X16">
        <v>0</v>
      </c>
      <c r="Y16">
        <v>0.05</v>
      </c>
      <c r="Z16">
        <v>0.05</v>
      </c>
      <c r="AA16">
        <v>0.05</v>
      </c>
      <c r="AB16">
        <v>0.11</v>
      </c>
      <c r="AD16">
        <v>0.65</v>
      </c>
      <c r="AE16">
        <v>0</v>
      </c>
      <c r="AF16">
        <v>0.18</v>
      </c>
      <c r="AG16">
        <v>0</v>
      </c>
      <c r="AH16">
        <v>0.12</v>
      </c>
      <c r="AI16">
        <v>0.06</v>
      </c>
      <c r="AK16">
        <v>0.53</v>
      </c>
      <c r="AL16">
        <v>0</v>
      </c>
      <c r="AM16">
        <v>0.11</v>
      </c>
      <c r="AN16">
        <v>0.16</v>
      </c>
      <c r="AO16">
        <v>0</v>
      </c>
      <c r="AP16">
        <v>0.21</v>
      </c>
    </row>
    <row r="17" spans="1:42" x14ac:dyDescent="0.25">
      <c r="A17" t="s">
        <v>2</v>
      </c>
      <c r="B17">
        <f t="shared" ref="B17:B21" si="12">AVERAGE(I17,P17,W17,AD17,AK17)</f>
        <v>0.02</v>
      </c>
      <c r="C17" s="10">
        <f>AVERAGE(J17,Q17,X17,AE17,AL17)</f>
        <v>0.48799999999999988</v>
      </c>
      <c r="D17">
        <f t="shared" si="8"/>
        <v>0.28000000000000003</v>
      </c>
      <c r="E17">
        <f t="shared" si="9"/>
        <v>9.6000000000000002E-2</v>
      </c>
      <c r="F17">
        <f t="shared" si="10"/>
        <v>6.4000000000000001E-2</v>
      </c>
      <c r="G17">
        <f t="shared" si="11"/>
        <v>5.2000000000000005E-2</v>
      </c>
      <c r="I17">
        <v>0</v>
      </c>
      <c r="J17">
        <v>0.35</v>
      </c>
      <c r="K17">
        <v>0.18</v>
      </c>
      <c r="L17">
        <v>0.24</v>
      </c>
      <c r="M17">
        <v>0.12</v>
      </c>
      <c r="N17">
        <v>0.12</v>
      </c>
      <c r="P17">
        <v>0.1</v>
      </c>
      <c r="Q17">
        <v>0.5</v>
      </c>
      <c r="R17">
        <v>0.3</v>
      </c>
      <c r="S17">
        <v>0.1</v>
      </c>
      <c r="T17">
        <v>0</v>
      </c>
      <c r="U17">
        <v>0</v>
      </c>
      <c r="W17">
        <v>0</v>
      </c>
      <c r="X17">
        <v>0.7</v>
      </c>
      <c r="Y17">
        <v>0.3</v>
      </c>
      <c r="Z17">
        <v>0</v>
      </c>
      <c r="AA17">
        <v>0</v>
      </c>
      <c r="AB17">
        <v>0</v>
      </c>
      <c r="AD17">
        <v>0</v>
      </c>
      <c r="AE17">
        <v>0.47</v>
      </c>
      <c r="AF17">
        <v>0.28999999999999998</v>
      </c>
      <c r="AG17">
        <v>0.06</v>
      </c>
      <c r="AH17">
        <v>0.12</v>
      </c>
      <c r="AI17">
        <v>0.06</v>
      </c>
      <c r="AK17">
        <v>0</v>
      </c>
      <c r="AL17">
        <v>0.42</v>
      </c>
      <c r="AM17">
        <v>0.33</v>
      </c>
      <c r="AN17">
        <v>0.08</v>
      </c>
      <c r="AO17">
        <v>0.08</v>
      </c>
      <c r="AP17">
        <v>0.08</v>
      </c>
    </row>
    <row r="18" spans="1:42" x14ac:dyDescent="0.25">
      <c r="A18" t="s">
        <v>1</v>
      </c>
      <c r="B18">
        <f t="shared" si="12"/>
        <v>7.8E-2</v>
      </c>
      <c r="C18">
        <f t="shared" si="7"/>
        <v>0.188</v>
      </c>
      <c r="D18" s="10">
        <f>AVERAGE(K18,R18,Y18,AF18,AM18)</f>
        <v>0.502</v>
      </c>
      <c r="E18">
        <f t="shared" si="9"/>
        <v>0.15200000000000002</v>
      </c>
      <c r="F18">
        <f t="shared" si="10"/>
        <v>4.5999999999999999E-2</v>
      </c>
      <c r="G18">
        <f t="shared" si="11"/>
        <v>3.4000000000000002E-2</v>
      </c>
      <c r="I18">
        <v>0.04</v>
      </c>
      <c r="J18">
        <v>0.26</v>
      </c>
      <c r="K18">
        <v>0.35</v>
      </c>
      <c r="L18">
        <v>0.17</v>
      </c>
      <c r="M18">
        <v>0</v>
      </c>
      <c r="N18">
        <v>0.17</v>
      </c>
      <c r="P18">
        <v>0.09</v>
      </c>
      <c r="Q18">
        <v>0.26</v>
      </c>
      <c r="R18">
        <v>0.39</v>
      </c>
      <c r="S18">
        <v>0.22</v>
      </c>
      <c r="T18">
        <v>0.04</v>
      </c>
      <c r="U18">
        <v>0</v>
      </c>
      <c r="W18">
        <v>0.13</v>
      </c>
      <c r="X18">
        <v>7.0000000000000007E-2</v>
      </c>
      <c r="Y18">
        <v>0.67</v>
      </c>
      <c r="Z18">
        <v>0.13</v>
      </c>
      <c r="AA18">
        <v>0</v>
      </c>
      <c r="AB18">
        <v>0</v>
      </c>
      <c r="AD18">
        <v>7.0000000000000007E-2</v>
      </c>
      <c r="AE18">
        <v>0.13</v>
      </c>
      <c r="AF18">
        <v>0.6</v>
      </c>
      <c r="AG18">
        <v>7.0000000000000007E-2</v>
      </c>
      <c r="AH18">
        <v>0.13</v>
      </c>
      <c r="AI18">
        <v>0</v>
      </c>
      <c r="AK18">
        <v>0.06</v>
      </c>
      <c r="AL18">
        <v>0.22</v>
      </c>
      <c r="AM18">
        <v>0.5</v>
      </c>
      <c r="AN18">
        <v>0.17</v>
      </c>
      <c r="AO18">
        <v>0.06</v>
      </c>
      <c r="AP18">
        <v>0</v>
      </c>
    </row>
    <row r="19" spans="1:42" x14ac:dyDescent="0.25">
      <c r="A19" t="s">
        <v>3</v>
      </c>
      <c r="B19">
        <f t="shared" si="12"/>
        <v>0.13</v>
      </c>
      <c r="C19">
        <f t="shared" si="7"/>
        <v>0.13400000000000001</v>
      </c>
      <c r="D19">
        <f t="shared" si="8"/>
        <v>0.11800000000000002</v>
      </c>
      <c r="E19" s="10">
        <f>AVERAGE(L19,S19,Z19,AG19,AN19)</f>
        <v>0.47200000000000009</v>
      </c>
      <c r="F19">
        <f t="shared" si="10"/>
        <v>5.4000000000000006E-2</v>
      </c>
      <c r="G19">
        <f t="shared" si="11"/>
        <v>9.1999999999999998E-2</v>
      </c>
      <c r="I19">
        <v>0.22</v>
      </c>
      <c r="J19">
        <v>0.14000000000000001</v>
      </c>
      <c r="K19">
        <v>0.08</v>
      </c>
      <c r="L19">
        <v>0.47</v>
      </c>
      <c r="M19">
        <v>0.03</v>
      </c>
      <c r="N19">
        <v>0.08</v>
      </c>
      <c r="P19">
        <v>0.14000000000000001</v>
      </c>
      <c r="Q19">
        <v>0.13</v>
      </c>
      <c r="R19">
        <v>0.14000000000000001</v>
      </c>
      <c r="S19">
        <v>0.45</v>
      </c>
      <c r="T19">
        <v>0.04</v>
      </c>
      <c r="U19">
        <v>0.09</v>
      </c>
      <c r="W19">
        <v>0.11</v>
      </c>
      <c r="X19">
        <v>0.14000000000000001</v>
      </c>
      <c r="Y19">
        <v>0.21</v>
      </c>
      <c r="Z19">
        <v>0.33</v>
      </c>
      <c r="AA19">
        <v>7.0000000000000007E-2</v>
      </c>
      <c r="AB19">
        <v>0.13</v>
      </c>
      <c r="AD19">
        <v>7.0000000000000007E-2</v>
      </c>
      <c r="AE19">
        <v>0.13</v>
      </c>
      <c r="AF19">
        <v>0.09</v>
      </c>
      <c r="AG19">
        <v>0.57999999999999996</v>
      </c>
      <c r="AH19">
        <v>0.06</v>
      </c>
      <c r="AI19">
        <v>7.0000000000000007E-2</v>
      </c>
      <c r="AK19">
        <v>0.11</v>
      </c>
      <c r="AL19">
        <v>0.13</v>
      </c>
      <c r="AM19">
        <v>7.0000000000000007E-2</v>
      </c>
      <c r="AN19">
        <v>0.53</v>
      </c>
      <c r="AO19">
        <v>7.0000000000000007E-2</v>
      </c>
      <c r="AP19">
        <v>0.09</v>
      </c>
    </row>
    <row r="20" spans="1:42" x14ac:dyDescent="0.25">
      <c r="A20" t="s">
        <v>4</v>
      </c>
      <c r="B20">
        <f t="shared" si="12"/>
        <v>0.13200000000000001</v>
      </c>
      <c r="C20">
        <f t="shared" si="7"/>
        <v>0.20600000000000002</v>
      </c>
      <c r="D20">
        <f t="shared" si="8"/>
        <v>0.15999999999999998</v>
      </c>
      <c r="E20">
        <f t="shared" si="9"/>
        <v>0.188</v>
      </c>
      <c r="F20" s="10">
        <f>AVERAGE(M20,T20,AA20,AH20,AO20)</f>
        <v>6.9999999999999993E-2</v>
      </c>
      <c r="G20">
        <f t="shared" si="11"/>
        <v>0.25</v>
      </c>
      <c r="I20">
        <v>0.21</v>
      </c>
      <c r="J20">
        <v>0.21</v>
      </c>
      <c r="K20">
        <v>0.13</v>
      </c>
      <c r="L20">
        <v>0.18</v>
      </c>
      <c r="M20">
        <v>7.0000000000000007E-2</v>
      </c>
      <c r="N20">
        <v>0.21</v>
      </c>
      <c r="P20">
        <v>0.13</v>
      </c>
      <c r="Q20">
        <v>0.21</v>
      </c>
      <c r="R20">
        <v>0.11</v>
      </c>
      <c r="S20">
        <v>0.24</v>
      </c>
      <c r="T20">
        <v>0.08</v>
      </c>
      <c r="U20">
        <v>0.24</v>
      </c>
      <c r="W20">
        <v>0.06</v>
      </c>
      <c r="X20">
        <v>0.2</v>
      </c>
      <c r="Y20">
        <v>0.26</v>
      </c>
      <c r="Z20">
        <v>0.13</v>
      </c>
      <c r="AA20">
        <v>0.06</v>
      </c>
      <c r="AB20">
        <v>0.28999999999999998</v>
      </c>
      <c r="AD20">
        <v>0.11</v>
      </c>
      <c r="AE20">
        <v>0.14000000000000001</v>
      </c>
      <c r="AF20">
        <v>0.22</v>
      </c>
      <c r="AG20">
        <v>0.19</v>
      </c>
      <c r="AH20">
        <v>0.04</v>
      </c>
      <c r="AI20">
        <v>0.31</v>
      </c>
      <c r="AK20">
        <v>0.15</v>
      </c>
      <c r="AL20">
        <v>0.27</v>
      </c>
      <c r="AM20">
        <v>0.08</v>
      </c>
      <c r="AN20">
        <v>0.2</v>
      </c>
      <c r="AO20">
        <v>0.1</v>
      </c>
      <c r="AP20">
        <v>0.2</v>
      </c>
    </row>
    <row r="21" spans="1:42" x14ac:dyDescent="0.25">
      <c r="A21" t="s">
        <v>5</v>
      </c>
      <c r="B21">
        <f t="shared" si="12"/>
        <v>0.20800000000000002</v>
      </c>
      <c r="C21">
        <f t="shared" si="7"/>
        <v>0.03</v>
      </c>
      <c r="D21">
        <f t="shared" si="8"/>
        <v>0.128</v>
      </c>
      <c r="E21">
        <f t="shared" si="9"/>
        <v>8.2000000000000003E-2</v>
      </c>
      <c r="F21">
        <f t="shared" si="10"/>
        <v>0.10600000000000001</v>
      </c>
      <c r="G21" s="10">
        <f>AVERAGE(N21,U21,AB21,AI21,AP21)</f>
        <v>0.45199999999999996</v>
      </c>
      <c r="I21">
        <v>0.42</v>
      </c>
      <c r="J21">
        <v>0.04</v>
      </c>
      <c r="K21">
        <v>0</v>
      </c>
      <c r="L21">
        <v>0.04</v>
      </c>
      <c r="M21">
        <v>0</v>
      </c>
      <c r="N21">
        <v>0.5</v>
      </c>
      <c r="P21">
        <v>0.14000000000000001</v>
      </c>
      <c r="Q21">
        <v>0.05</v>
      </c>
      <c r="R21">
        <v>0.14000000000000001</v>
      </c>
      <c r="S21">
        <v>0.14000000000000001</v>
      </c>
      <c r="T21">
        <v>0.14000000000000001</v>
      </c>
      <c r="U21">
        <v>0.41</v>
      </c>
      <c r="W21">
        <v>0.19</v>
      </c>
      <c r="X21">
        <v>0</v>
      </c>
      <c r="Y21">
        <v>0.24</v>
      </c>
      <c r="Z21">
        <v>0</v>
      </c>
      <c r="AA21">
        <v>0.05</v>
      </c>
      <c r="AB21">
        <v>0.52</v>
      </c>
      <c r="AD21">
        <v>0.12</v>
      </c>
      <c r="AE21">
        <v>0</v>
      </c>
      <c r="AF21">
        <v>0.04</v>
      </c>
      <c r="AG21">
        <v>0.12</v>
      </c>
      <c r="AH21">
        <v>0.28000000000000003</v>
      </c>
      <c r="AI21">
        <v>0.44</v>
      </c>
      <c r="AK21">
        <v>0.17</v>
      </c>
      <c r="AL21">
        <v>0.06</v>
      </c>
      <c r="AM21">
        <v>0.22</v>
      </c>
      <c r="AN21">
        <v>0.11</v>
      </c>
      <c r="AO21">
        <v>0.06</v>
      </c>
      <c r="AP21">
        <v>0.39</v>
      </c>
    </row>
    <row r="23" spans="1:42" x14ac:dyDescent="0.25">
      <c r="B23" s="10">
        <f>AVERAGE(I23,P23,W23,AD23,AK23)</f>
        <v>0.43600000000000005</v>
      </c>
      <c r="I23">
        <v>0.4</v>
      </c>
      <c r="P23">
        <v>0.41</v>
      </c>
      <c r="W23">
        <v>0.5</v>
      </c>
      <c r="AD23">
        <v>0.46</v>
      </c>
      <c r="AK23">
        <v>0.41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8390D-A4C4-40B1-A6B0-7A7D448AB235}">
  <sheetPr codeName="Arkusz2"/>
  <dimension ref="A4:AP23"/>
  <sheetViews>
    <sheetView topLeftCell="A4" workbookViewId="0">
      <selection activeCell="H14" sqref="H14"/>
    </sheetView>
  </sheetViews>
  <sheetFormatPr defaultRowHeight="15" x14ac:dyDescent="0.25"/>
  <sheetData>
    <row r="4" spans="1:42" x14ac:dyDescent="0.25">
      <c r="B4" s="1" t="s">
        <v>11</v>
      </c>
      <c r="C4" s="1" t="s">
        <v>12</v>
      </c>
      <c r="D4" s="1" t="s">
        <v>13</v>
      </c>
      <c r="E4" s="1" t="s">
        <v>14</v>
      </c>
      <c r="F4" s="1" t="s">
        <v>15</v>
      </c>
    </row>
    <row r="5" spans="1:42" x14ac:dyDescent="0.25">
      <c r="A5" s="1" t="s">
        <v>11</v>
      </c>
      <c r="B5" s="6">
        <f>AVERAGE(I5,P5,W5,AD5,AK5)</f>
        <v>0.82799999999999996</v>
      </c>
      <c r="C5" s="1">
        <f t="shared" ref="C5:F5" si="0">AVERAGE(J5,Q5,X5,AE5,AL5)</f>
        <v>0.05</v>
      </c>
      <c r="D5" s="1">
        <f t="shared" si="0"/>
        <v>3.5999999999999997E-2</v>
      </c>
      <c r="E5" s="1">
        <f t="shared" si="0"/>
        <v>1.4000000000000002E-2</v>
      </c>
      <c r="F5" s="1">
        <f t="shared" si="0"/>
        <v>7.400000000000001E-2</v>
      </c>
      <c r="G5" s="1"/>
      <c r="I5">
        <v>0.86</v>
      </c>
      <c r="J5">
        <v>0.02</v>
      </c>
      <c r="K5">
        <v>0.05</v>
      </c>
      <c r="L5">
        <v>0.02</v>
      </c>
      <c r="M5">
        <v>0.05</v>
      </c>
      <c r="N5">
        <v>0</v>
      </c>
      <c r="P5">
        <v>0.84</v>
      </c>
      <c r="Q5">
        <v>0.02</v>
      </c>
      <c r="R5">
        <v>0.03</v>
      </c>
      <c r="S5">
        <v>0.02</v>
      </c>
      <c r="T5">
        <v>0.1</v>
      </c>
      <c r="U5">
        <v>0</v>
      </c>
      <c r="W5">
        <v>0.77</v>
      </c>
      <c r="X5">
        <v>0.09</v>
      </c>
      <c r="Y5">
        <v>0.05</v>
      </c>
      <c r="Z5">
        <v>0.01</v>
      </c>
      <c r="AA5">
        <v>0.08</v>
      </c>
      <c r="AB5">
        <v>0</v>
      </c>
      <c r="AD5">
        <v>0.85</v>
      </c>
      <c r="AE5">
        <v>0.03</v>
      </c>
      <c r="AF5">
        <v>0.02</v>
      </c>
      <c r="AG5">
        <v>0.02</v>
      </c>
      <c r="AH5">
        <v>0.08</v>
      </c>
      <c r="AI5">
        <v>0</v>
      </c>
      <c r="AK5">
        <v>0.82</v>
      </c>
      <c r="AL5">
        <v>0.09</v>
      </c>
      <c r="AM5">
        <v>0.03</v>
      </c>
      <c r="AN5">
        <v>0</v>
      </c>
      <c r="AO5">
        <v>0.06</v>
      </c>
      <c r="AP5">
        <v>0</v>
      </c>
    </row>
    <row r="6" spans="1:42" x14ac:dyDescent="0.25">
      <c r="A6" s="1" t="s">
        <v>12</v>
      </c>
      <c r="B6" s="1">
        <f t="shared" ref="B6:B9" si="1">AVERAGE(I6,P6,W6,AD6,AK6)</f>
        <v>0</v>
      </c>
      <c r="C6" s="6">
        <f>AVERAGE(J6,Q6,X6,AE6,AL6)</f>
        <v>0.99199999999999999</v>
      </c>
      <c r="D6" s="1">
        <f t="shared" ref="D6:D9" si="2">AVERAGE(K6,R6,Y6,AF6,AM6)</f>
        <v>8.0000000000000002E-3</v>
      </c>
      <c r="E6" s="1">
        <f t="shared" ref="E6:E9" si="3">AVERAGE(L6,S6,Z6,AG6,AN6)</f>
        <v>0</v>
      </c>
      <c r="F6" s="1">
        <f t="shared" ref="F6:F8" si="4">AVERAGE(M6,T6,AA6,AH6,AO6)</f>
        <v>0</v>
      </c>
      <c r="G6" s="1"/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0.98</v>
      </c>
      <c r="R6">
        <v>0.02</v>
      </c>
      <c r="S6">
        <v>0</v>
      </c>
      <c r="T6">
        <v>0</v>
      </c>
      <c r="U6">
        <v>0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0.98</v>
      </c>
      <c r="AF6">
        <v>0.02</v>
      </c>
      <c r="AG6">
        <v>0</v>
      </c>
      <c r="AH6">
        <v>0</v>
      </c>
      <c r="AI6">
        <v>0</v>
      </c>
      <c r="AK6">
        <v>0</v>
      </c>
      <c r="AL6">
        <v>1</v>
      </c>
      <c r="AM6">
        <v>0</v>
      </c>
      <c r="AN6">
        <v>0</v>
      </c>
      <c r="AO6">
        <v>0</v>
      </c>
      <c r="AP6">
        <v>0</v>
      </c>
    </row>
    <row r="7" spans="1:42" x14ac:dyDescent="0.25">
      <c r="A7" s="1" t="s">
        <v>13</v>
      </c>
      <c r="B7" s="1">
        <f t="shared" si="1"/>
        <v>0</v>
      </c>
      <c r="C7" s="1">
        <f t="shared" ref="C7:C9" si="5">AVERAGE(J7,Q7,X7,AE7,AL7)</f>
        <v>8.0000000000000002E-3</v>
      </c>
      <c r="D7" s="6">
        <f>AVERAGE(K7,R7,Y7,AF7,AM7)</f>
        <v>0.99</v>
      </c>
      <c r="E7" s="1">
        <f t="shared" si="3"/>
        <v>2E-3</v>
      </c>
      <c r="F7" s="1">
        <f t="shared" si="4"/>
        <v>0</v>
      </c>
      <c r="G7" s="1"/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P7">
        <v>0</v>
      </c>
      <c r="Q7">
        <v>0.03</v>
      </c>
      <c r="R7">
        <v>0.96</v>
      </c>
      <c r="S7">
        <v>0.01</v>
      </c>
      <c r="T7">
        <v>0</v>
      </c>
      <c r="U7">
        <v>0</v>
      </c>
      <c r="W7">
        <v>0</v>
      </c>
      <c r="X7">
        <v>0</v>
      </c>
      <c r="Y7">
        <v>1</v>
      </c>
      <c r="Z7">
        <v>0</v>
      </c>
      <c r="AA7">
        <v>0</v>
      </c>
      <c r="AB7">
        <v>0</v>
      </c>
      <c r="AD7">
        <v>0</v>
      </c>
      <c r="AE7">
        <v>0.01</v>
      </c>
      <c r="AF7">
        <v>0.99</v>
      </c>
      <c r="AG7">
        <v>0</v>
      </c>
      <c r="AH7">
        <v>0</v>
      </c>
      <c r="AI7">
        <v>0</v>
      </c>
      <c r="AK7">
        <v>0</v>
      </c>
      <c r="AL7">
        <v>0</v>
      </c>
      <c r="AM7">
        <v>1</v>
      </c>
      <c r="AN7">
        <v>0</v>
      </c>
      <c r="AO7">
        <v>0</v>
      </c>
      <c r="AP7">
        <v>0</v>
      </c>
    </row>
    <row r="8" spans="1:42" x14ac:dyDescent="0.25">
      <c r="A8" s="1" t="s">
        <v>14</v>
      </c>
      <c r="B8" s="1">
        <f t="shared" si="1"/>
        <v>2.8000000000000004E-2</v>
      </c>
      <c r="C8" s="1">
        <f t="shared" si="5"/>
        <v>0.154</v>
      </c>
      <c r="D8" s="1">
        <f t="shared" si="2"/>
        <v>0.14799999999999999</v>
      </c>
      <c r="E8" s="6">
        <f>AVERAGE(L8,S8,Z8,AG8,AN8)</f>
        <v>0.62</v>
      </c>
      <c r="F8" s="1">
        <f t="shared" si="4"/>
        <v>5.2000000000000005E-2</v>
      </c>
      <c r="G8" s="1"/>
      <c r="I8">
        <v>0.03</v>
      </c>
      <c r="J8">
        <v>0.15</v>
      </c>
      <c r="K8">
        <v>0.14000000000000001</v>
      </c>
      <c r="L8">
        <v>0.63</v>
      </c>
      <c r="M8">
        <v>0.04</v>
      </c>
      <c r="N8">
        <v>0</v>
      </c>
      <c r="P8">
        <v>0.04</v>
      </c>
      <c r="Q8">
        <v>0.15</v>
      </c>
      <c r="R8">
        <v>0.11</v>
      </c>
      <c r="S8">
        <v>0.65</v>
      </c>
      <c r="T8">
        <v>0.06</v>
      </c>
      <c r="U8">
        <v>0</v>
      </c>
      <c r="W8">
        <v>0.02</v>
      </c>
      <c r="X8">
        <v>0.14000000000000001</v>
      </c>
      <c r="Y8">
        <v>0.17</v>
      </c>
      <c r="Z8">
        <v>0.63</v>
      </c>
      <c r="AA8">
        <v>0.04</v>
      </c>
      <c r="AB8">
        <v>0</v>
      </c>
      <c r="AD8">
        <v>0.03</v>
      </c>
      <c r="AE8">
        <v>0.11</v>
      </c>
      <c r="AF8">
        <v>0.11</v>
      </c>
      <c r="AG8">
        <v>0.67</v>
      </c>
      <c r="AH8">
        <v>0.08</v>
      </c>
      <c r="AI8">
        <v>0</v>
      </c>
      <c r="AK8">
        <v>0.02</v>
      </c>
      <c r="AL8">
        <v>0.22</v>
      </c>
      <c r="AM8">
        <v>0.21</v>
      </c>
      <c r="AN8">
        <v>0.52</v>
      </c>
      <c r="AO8">
        <v>0.04</v>
      </c>
      <c r="AP8">
        <v>0</v>
      </c>
    </row>
    <row r="9" spans="1:42" x14ac:dyDescent="0.25">
      <c r="A9" s="1" t="s">
        <v>15</v>
      </c>
      <c r="B9" s="1">
        <f t="shared" si="1"/>
        <v>4.3999999999999997E-2</v>
      </c>
      <c r="C9" s="1">
        <f t="shared" si="5"/>
        <v>5.800000000000001E-2</v>
      </c>
      <c r="D9" s="1">
        <f t="shared" si="2"/>
        <v>6.4000000000000001E-2</v>
      </c>
      <c r="E9" s="1">
        <f t="shared" si="3"/>
        <v>1.4000000000000002E-2</v>
      </c>
      <c r="F9" s="6">
        <f>AVERAGE(M9,T9,AA9,AH9,AO9)</f>
        <v>0.81400000000000006</v>
      </c>
      <c r="G9" s="1"/>
      <c r="I9">
        <v>0.05</v>
      </c>
      <c r="J9">
        <v>0.05</v>
      </c>
      <c r="K9">
        <v>0.08</v>
      </c>
      <c r="L9">
        <v>0</v>
      </c>
      <c r="M9">
        <v>0.81</v>
      </c>
      <c r="N9">
        <v>0</v>
      </c>
      <c r="P9">
        <v>0.04</v>
      </c>
      <c r="Q9">
        <v>0.02</v>
      </c>
      <c r="R9">
        <v>0.03</v>
      </c>
      <c r="S9">
        <v>0.04</v>
      </c>
      <c r="T9">
        <v>0.86</v>
      </c>
      <c r="U9">
        <v>0</v>
      </c>
      <c r="W9">
        <v>0.04</v>
      </c>
      <c r="X9">
        <v>0.1</v>
      </c>
      <c r="Y9">
        <v>0.08</v>
      </c>
      <c r="Z9">
        <v>0.01</v>
      </c>
      <c r="AA9">
        <v>0.76</v>
      </c>
      <c r="AB9">
        <v>0</v>
      </c>
      <c r="AD9">
        <v>0.05</v>
      </c>
      <c r="AE9">
        <v>0.01</v>
      </c>
      <c r="AF9">
        <v>0.03</v>
      </c>
      <c r="AG9">
        <v>0.01</v>
      </c>
      <c r="AH9">
        <v>0.89</v>
      </c>
      <c r="AI9">
        <v>0</v>
      </c>
      <c r="AK9">
        <v>0.04</v>
      </c>
      <c r="AL9">
        <v>0.11</v>
      </c>
      <c r="AM9">
        <v>0.1</v>
      </c>
      <c r="AN9">
        <v>0.01</v>
      </c>
      <c r="AO9">
        <v>0.75</v>
      </c>
      <c r="AP9">
        <v>0</v>
      </c>
    </row>
    <row r="10" spans="1:42" x14ac:dyDescent="0.25">
      <c r="B10" s="1"/>
      <c r="C10" s="1"/>
      <c r="D10" s="1"/>
      <c r="E10" s="1"/>
      <c r="F10" s="1"/>
      <c r="G10" s="1"/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6">
        <f>AVERAGE(I12,P12,W12,AD12,AK12)</f>
        <v>0.85</v>
      </c>
      <c r="C12" s="1"/>
      <c r="D12" s="1"/>
      <c r="E12" s="1"/>
      <c r="F12" s="1"/>
      <c r="G12" s="1"/>
      <c r="I12">
        <v>0.86</v>
      </c>
      <c r="P12">
        <v>0.86</v>
      </c>
      <c r="W12">
        <v>0.83</v>
      </c>
      <c r="AD12">
        <v>0.88</v>
      </c>
      <c r="AK12">
        <v>0.82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s="1" t="s">
        <v>11</v>
      </c>
      <c r="C15" s="1" t="s">
        <v>12</v>
      </c>
      <c r="D15" s="1" t="s">
        <v>13</v>
      </c>
      <c r="E15" s="1" t="s">
        <v>14</v>
      </c>
      <c r="F15" s="1" t="s">
        <v>15</v>
      </c>
      <c r="G15" s="1"/>
    </row>
    <row r="16" spans="1:42" x14ac:dyDescent="0.25">
      <c r="A16" s="1" t="s">
        <v>11</v>
      </c>
      <c r="B16" s="6">
        <f>AVERAGE(I16,P16,W16,AD16,AK16)</f>
        <v>0.60200000000000009</v>
      </c>
      <c r="C16" s="1">
        <f t="shared" ref="C16:C20" si="6">AVERAGE(J16,Q16,X16,AE16,AL16)</f>
        <v>6.9999999999999993E-2</v>
      </c>
      <c r="D16" s="1">
        <f t="shared" ref="D16:D20" si="7">AVERAGE(K16,R16,Y16,AF16,AM16)</f>
        <v>8.2000000000000003E-2</v>
      </c>
      <c r="E16" s="1">
        <f t="shared" ref="E16:E20" si="8">AVERAGE(L16,S16,Z16,AG16,AN16)</f>
        <v>4.2000000000000003E-2</v>
      </c>
      <c r="F16" s="1">
        <f t="shared" ref="F16:F19" si="9">AVERAGE(M16,T16,AA16,AH16,AO16)</f>
        <v>0.20200000000000004</v>
      </c>
      <c r="G16" s="1"/>
      <c r="I16">
        <v>0.51</v>
      </c>
      <c r="J16">
        <v>0.13</v>
      </c>
      <c r="K16">
        <v>0.1</v>
      </c>
      <c r="L16">
        <v>0.03</v>
      </c>
      <c r="M16">
        <v>0.23</v>
      </c>
      <c r="N16">
        <v>0</v>
      </c>
      <c r="P16">
        <v>0.63</v>
      </c>
      <c r="Q16">
        <v>0.04</v>
      </c>
      <c r="R16">
        <v>0.06</v>
      </c>
      <c r="S16">
        <v>0.1</v>
      </c>
      <c r="T16">
        <v>0.16</v>
      </c>
      <c r="U16">
        <v>0</v>
      </c>
      <c r="W16">
        <v>0.64</v>
      </c>
      <c r="X16">
        <v>7.0000000000000007E-2</v>
      </c>
      <c r="Y16">
        <v>0.09</v>
      </c>
      <c r="Z16">
        <v>0</v>
      </c>
      <c r="AA16">
        <v>0.2</v>
      </c>
      <c r="AB16">
        <v>0</v>
      </c>
      <c r="AD16">
        <v>0.68</v>
      </c>
      <c r="AE16">
        <v>0.02</v>
      </c>
      <c r="AF16">
        <v>7.0000000000000007E-2</v>
      </c>
      <c r="AG16">
        <v>7.0000000000000007E-2</v>
      </c>
      <c r="AH16">
        <v>0.17</v>
      </c>
      <c r="AI16">
        <v>0</v>
      </c>
      <c r="AK16">
        <v>0.55000000000000004</v>
      </c>
      <c r="AL16">
        <v>0.09</v>
      </c>
      <c r="AM16">
        <v>0.09</v>
      </c>
      <c r="AN16">
        <v>0.01</v>
      </c>
      <c r="AO16">
        <v>0.25</v>
      </c>
      <c r="AP16">
        <v>0</v>
      </c>
    </row>
    <row r="17" spans="1:42" x14ac:dyDescent="0.25">
      <c r="A17" s="1" t="s">
        <v>12</v>
      </c>
      <c r="B17" s="1">
        <f t="shared" ref="B17:B20" si="10">AVERAGE(I17,P17,W17,AD17,AK17)</f>
        <v>1.2E-2</v>
      </c>
      <c r="C17" s="6">
        <f>AVERAGE(J17,Q17,X17,AE17,AL17)</f>
        <v>0.41600000000000004</v>
      </c>
      <c r="D17" s="1">
        <f t="shared" si="7"/>
        <v>0.41</v>
      </c>
      <c r="E17" s="1">
        <f t="shared" si="8"/>
        <v>0.152</v>
      </c>
      <c r="F17" s="1">
        <f t="shared" si="9"/>
        <v>1.2E-2</v>
      </c>
      <c r="G17" s="1"/>
      <c r="I17">
        <v>0</v>
      </c>
      <c r="J17">
        <v>0.39</v>
      </c>
      <c r="K17">
        <v>0.44</v>
      </c>
      <c r="L17">
        <v>0.17</v>
      </c>
      <c r="M17">
        <v>0</v>
      </c>
      <c r="N17">
        <v>0</v>
      </c>
      <c r="P17">
        <v>0.06</v>
      </c>
      <c r="Q17">
        <v>0.38</v>
      </c>
      <c r="R17">
        <v>0.44</v>
      </c>
      <c r="S17">
        <v>0.13</v>
      </c>
      <c r="T17">
        <v>0</v>
      </c>
      <c r="U17">
        <v>0</v>
      </c>
      <c r="W17">
        <v>0</v>
      </c>
      <c r="X17">
        <v>0.54</v>
      </c>
      <c r="Y17">
        <v>0.31</v>
      </c>
      <c r="Z17">
        <v>0.15</v>
      </c>
      <c r="AA17">
        <v>0</v>
      </c>
      <c r="AB17">
        <v>0</v>
      </c>
      <c r="AD17">
        <v>0</v>
      </c>
      <c r="AE17">
        <v>0.5</v>
      </c>
      <c r="AF17">
        <v>0.22</v>
      </c>
      <c r="AG17">
        <v>0.22</v>
      </c>
      <c r="AH17">
        <v>0.06</v>
      </c>
      <c r="AI17">
        <v>0</v>
      </c>
      <c r="AK17">
        <v>0</v>
      </c>
      <c r="AL17">
        <v>0.27</v>
      </c>
      <c r="AM17">
        <v>0.64</v>
      </c>
      <c r="AN17">
        <v>0.09</v>
      </c>
      <c r="AO17">
        <v>0</v>
      </c>
      <c r="AP17">
        <v>0</v>
      </c>
    </row>
    <row r="18" spans="1:42" x14ac:dyDescent="0.25">
      <c r="A18" s="1" t="s">
        <v>13</v>
      </c>
      <c r="B18" s="1">
        <f t="shared" si="10"/>
        <v>5.6000000000000008E-2</v>
      </c>
      <c r="C18" s="1">
        <f t="shared" si="6"/>
        <v>0.37</v>
      </c>
      <c r="D18" s="6">
        <f>AVERAGE(K18,R18,Y18,AF18,AM18)</f>
        <v>0.41200000000000003</v>
      </c>
      <c r="E18" s="1">
        <f t="shared" si="8"/>
        <v>0.13</v>
      </c>
      <c r="F18" s="1">
        <f t="shared" si="9"/>
        <v>0.03</v>
      </c>
      <c r="G18" s="1"/>
      <c r="I18">
        <v>0</v>
      </c>
      <c r="J18">
        <v>0.55000000000000004</v>
      </c>
      <c r="K18">
        <v>0.35</v>
      </c>
      <c r="L18">
        <v>0.05</v>
      </c>
      <c r="M18">
        <v>0.05</v>
      </c>
      <c r="N18">
        <v>0</v>
      </c>
      <c r="P18">
        <v>0.09</v>
      </c>
      <c r="Q18">
        <v>0.43</v>
      </c>
      <c r="R18">
        <v>0.26</v>
      </c>
      <c r="S18">
        <v>0.17</v>
      </c>
      <c r="T18">
        <v>0.04</v>
      </c>
      <c r="U18">
        <v>0</v>
      </c>
      <c r="W18">
        <v>0.05</v>
      </c>
      <c r="X18">
        <v>0.45</v>
      </c>
      <c r="Y18">
        <v>0.41</v>
      </c>
      <c r="Z18">
        <v>0.09</v>
      </c>
      <c r="AA18">
        <v>0</v>
      </c>
      <c r="AB18">
        <v>0</v>
      </c>
      <c r="AD18">
        <v>0.06</v>
      </c>
      <c r="AE18">
        <v>0.19</v>
      </c>
      <c r="AF18">
        <v>0.5</v>
      </c>
      <c r="AG18">
        <v>0.19</v>
      </c>
      <c r="AH18">
        <v>0.06</v>
      </c>
      <c r="AI18">
        <v>0</v>
      </c>
      <c r="AK18">
        <v>0.08</v>
      </c>
      <c r="AL18">
        <v>0.23</v>
      </c>
      <c r="AM18">
        <v>0.54</v>
      </c>
      <c r="AN18">
        <v>0.15</v>
      </c>
      <c r="AO18">
        <v>0</v>
      </c>
      <c r="AP18">
        <v>0</v>
      </c>
    </row>
    <row r="19" spans="1:42" x14ac:dyDescent="0.25">
      <c r="A19" s="1" t="s">
        <v>14</v>
      </c>
      <c r="B19" s="1">
        <f t="shared" si="10"/>
        <v>3.8000000000000006E-2</v>
      </c>
      <c r="C19" s="1">
        <f t="shared" si="6"/>
        <v>0.192</v>
      </c>
      <c r="D19" s="1">
        <f t="shared" si="7"/>
        <v>0.15000000000000002</v>
      </c>
      <c r="E19" s="6">
        <f>AVERAGE(L19,S19,Z19,AG19,AN19)</f>
        <v>0.55599999999999994</v>
      </c>
      <c r="F19" s="1">
        <f t="shared" si="9"/>
        <v>6.6000000000000003E-2</v>
      </c>
      <c r="G19" s="1"/>
      <c r="I19">
        <v>0.04</v>
      </c>
      <c r="J19">
        <v>0.19</v>
      </c>
      <c r="K19">
        <v>0.1</v>
      </c>
      <c r="L19">
        <v>0.62</v>
      </c>
      <c r="M19">
        <v>0.06</v>
      </c>
      <c r="N19">
        <v>0</v>
      </c>
      <c r="P19">
        <v>0.03</v>
      </c>
      <c r="Q19">
        <v>0.16</v>
      </c>
      <c r="R19">
        <v>0.16</v>
      </c>
      <c r="S19">
        <v>0.59</v>
      </c>
      <c r="T19">
        <v>0.06</v>
      </c>
      <c r="U19">
        <v>0</v>
      </c>
      <c r="W19">
        <v>0.04</v>
      </c>
      <c r="X19">
        <v>0.15</v>
      </c>
      <c r="Y19">
        <v>0.17</v>
      </c>
      <c r="Z19">
        <v>0.61</v>
      </c>
      <c r="AA19">
        <v>0.04</v>
      </c>
      <c r="AB19">
        <v>0</v>
      </c>
      <c r="AD19">
        <v>0.05</v>
      </c>
      <c r="AE19">
        <v>0.13</v>
      </c>
      <c r="AF19">
        <v>0.15</v>
      </c>
      <c r="AG19">
        <v>0.56999999999999995</v>
      </c>
      <c r="AH19">
        <v>0.1</v>
      </c>
      <c r="AI19">
        <v>0</v>
      </c>
      <c r="AK19">
        <v>0.03</v>
      </c>
      <c r="AL19">
        <v>0.33</v>
      </c>
      <c r="AM19">
        <v>0.17</v>
      </c>
      <c r="AN19">
        <v>0.39</v>
      </c>
      <c r="AO19">
        <v>7.0000000000000007E-2</v>
      </c>
      <c r="AP19">
        <v>0</v>
      </c>
    </row>
    <row r="20" spans="1:42" x14ac:dyDescent="0.25">
      <c r="A20" s="1" t="s">
        <v>15</v>
      </c>
      <c r="B20" s="1">
        <f t="shared" si="10"/>
        <v>0.19</v>
      </c>
      <c r="C20" s="1">
        <f t="shared" si="6"/>
        <v>9.4E-2</v>
      </c>
      <c r="D20" s="1">
        <f t="shared" si="7"/>
        <v>0.10400000000000001</v>
      </c>
      <c r="E20" s="1">
        <f t="shared" si="8"/>
        <v>5.4000000000000006E-2</v>
      </c>
      <c r="F20" s="6">
        <f>AVERAGE(M20,T20,AA20,AH20,AO20)</f>
        <v>0.55999999999999994</v>
      </c>
      <c r="G20" s="1"/>
      <c r="I20">
        <v>0.2</v>
      </c>
      <c r="J20">
        <v>0.05</v>
      </c>
      <c r="K20">
        <v>0.23</v>
      </c>
      <c r="L20">
        <v>0.1</v>
      </c>
      <c r="M20">
        <v>0.42</v>
      </c>
      <c r="N20">
        <v>0</v>
      </c>
      <c r="P20">
        <v>0.22</v>
      </c>
      <c r="Q20">
        <v>0.05</v>
      </c>
      <c r="R20">
        <v>0.05</v>
      </c>
      <c r="S20">
        <v>0.03</v>
      </c>
      <c r="T20">
        <v>0.66</v>
      </c>
      <c r="U20">
        <v>0</v>
      </c>
      <c r="W20">
        <v>0.15</v>
      </c>
      <c r="X20">
        <v>0.13</v>
      </c>
      <c r="Y20">
        <v>0.11</v>
      </c>
      <c r="Z20">
        <v>0</v>
      </c>
      <c r="AA20">
        <v>0.6</v>
      </c>
      <c r="AB20">
        <v>0</v>
      </c>
      <c r="AD20">
        <v>0.25</v>
      </c>
      <c r="AE20">
        <v>0.01</v>
      </c>
      <c r="AF20">
        <v>7.0000000000000007E-2</v>
      </c>
      <c r="AG20">
        <v>0.1</v>
      </c>
      <c r="AH20">
        <v>0.56999999999999995</v>
      </c>
      <c r="AI20">
        <v>0</v>
      </c>
      <c r="AK20">
        <v>0.13</v>
      </c>
      <c r="AL20">
        <v>0.23</v>
      </c>
      <c r="AM20">
        <v>0.06</v>
      </c>
      <c r="AN20">
        <v>0.04</v>
      </c>
      <c r="AO20">
        <v>0.55000000000000004</v>
      </c>
      <c r="AP20">
        <v>0</v>
      </c>
    </row>
    <row r="21" spans="1:42" x14ac:dyDescent="0.25">
      <c r="B21" s="1"/>
      <c r="C21" s="1"/>
      <c r="D21" s="1"/>
      <c r="E21" s="1"/>
      <c r="F21" s="1"/>
      <c r="G21" s="1"/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6">
        <f>AVERAGE(I23,P23,W23,AD23,AK23)</f>
        <v>0.50800000000000001</v>
      </c>
      <c r="C23" s="1"/>
      <c r="D23" s="1"/>
      <c r="E23" s="1"/>
      <c r="F23" s="1"/>
      <c r="G23" s="1"/>
      <c r="I23">
        <v>0.46</v>
      </c>
      <c r="P23">
        <v>0.5</v>
      </c>
      <c r="W23">
        <v>0.56000000000000005</v>
      </c>
      <c r="AD23">
        <v>0.56000000000000005</v>
      </c>
      <c r="AK23">
        <v>0.46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54EBF-081D-489F-B9F2-EC7D80E811E5}">
  <dimension ref="A4:AP50"/>
  <sheetViews>
    <sheetView tabSelected="1" zoomScale="85" zoomScaleNormal="85" workbookViewId="0">
      <selection activeCell="K14" sqref="K14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6">
        <f>AVERAGE(I5,P5,W5,AD5,AK5)</f>
        <v>0.99199999999999999</v>
      </c>
      <c r="C5" s="1">
        <f t="shared" ref="C5:G5" si="0">AVERAGE(J5,Q5,X5,AE5,AL5)</f>
        <v>0</v>
      </c>
      <c r="D5" s="1">
        <f t="shared" si="0"/>
        <v>4.0000000000000001E-3</v>
      </c>
      <c r="E5" s="1">
        <f t="shared" si="0"/>
        <v>0</v>
      </c>
      <c r="F5" s="1">
        <f t="shared" si="0"/>
        <v>2E-3</v>
      </c>
      <c r="G5" s="1">
        <f t="shared" si="0"/>
        <v>2E-3</v>
      </c>
      <c r="I5">
        <v>0.99</v>
      </c>
      <c r="J5">
        <v>0</v>
      </c>
      <c r="K5">
        <v>0</v>
      </c>
      <c r="L5">
        <v>0</v>
      </c>
      <c r="M5">
        <v>0.01</v>
      </c>
      <c r="N5">
        <v>0</v>
      </c>
      <c r="P5">
        <v>0.99</v>
      </c>
      <c r="Q5">
        <v>0</v>
      </c>
      <c r="R5">
        <v>0.01</v>
      </c>
      <c r="S5">
        <v>0</v>
      </c>
      <c r="T5">
        <v>0</v>
      </c>
      <c r="U5">
        <v>0</v>
      </c>
      <c r="W5">
        <v>0.99</v>
      </c>
      <c r="X5">
        <v>0</v>
      </c>
      <c r="Y5">
        <v>0</v>
      </c>
      <c r="Z5">
        <v>0</v>
      </c>
      <c r="AA5">
        <v>0</v>
      </c>
      <c r="AB5">
        <v>0.01</v>
      </c>
      <c r="AD5">
        <v>0.99</v>
      </c>
      <c r="AE5">
        <v>0</v>
      </c>
      <c r="AF5">
        <v>0.01</v>
      </c>
      <c r="AG5">
        <v>0</v>
      </c>
      <c r="AH5">
        <v>0</v>
      </c>
      <c r="AI5">
        <v>0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25">
      <c r="A6" t="s">
        <v>2</v>
      </c>
      <c r="B6" s="1">
        <f t="shared" ref="B6:B10" si="1">AVERAGE(I6,P6,W6,AD6,AK6)</f>
        <v>0</v>
      </c>
      <c r="C6" s="6">
        <f>AVERAGE(J6,Q6,X6,AE6,AL6)</f>
        <v>0.99</v>
      </c>
      <c r="D6" s="1">
        <f t="shared" ref="D6:D10" si="2">AVERAGE(K6,R6,Y6,AF6,AM6)</f>
        <v>4.0000000000000001E-3</v>
      </c>
      <c r="E6" s="1">
        <f t="shared" ref="E6:E10" si="3">AVERAGE(L6,S6,Z6,AG6,AN6)</f>
        <v>4.0000000000000001E-3</v>
      </c>
      <c r="F6" s="1">
        <f t="shared" ref="F6:F10" si="4">AVERAGE(M6,T6,AA6,AH6,AO6)</f>
        <v>0</v>
      </c>
      <c r="G6" s="1">
        <f t="shared" ref="G6:G9" si="5">AVERAGE(N6,U6,AB6,AI6,AP6)</f>
        <v>4.0000000000000001E-3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0.98</v>
      </c>
      <c r="R6">
        <v>0</v>
      </c>
      <c r="S6">
        <v>0</v>
      </c>
      <c r="T6">
        <v>0</v>
      </c>
      <c r="U6">
        <v>0.02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0.97</v>
      </c>
      <c r="AM6">
        <v>0.02</v>
      </c>
      <c r="AN6">
        <v>0.02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2E-3</v>
      </c>
      <c r="C7" s="1">
        <f t="shared" ref="C7:C10" si="6">AVERAGE(J7,Q7,X7,AE7,AL7)</f>
        <v>1.6E-2</v>
      </c>
      <c r="D7" s="6">
        <f>AVERAGE(K7,R7,Y7,AF7,AM7)</f>
        <v>0.96400000000000008</v>
      </c>
      <c r="E7" s="1">
        <f t="shared" si="3"/>
        <v>0.01</v>
      </c>
      <c r="F7" s="1">
        <f t="shared" si="4"/>
        <v>4.0000000000000001E-3</v>
      </c>
      <c r="G7" s="1">
        <f t="shared" si="5"/>
        <v>0</v>
      </c>
      <c r="I7">
        <v>0</v>
      </c>
      <c r="J7">
        <v>0</v>
      </c>
      <c r="K7">
        <v>0.97</v>
      </c>
      <c r="L7">
        <v>0.03</v>
      </c>
      <c r="M7">
        <v>0</v>
      </c>
      <c r="N7">
        <v>0</v>
      </c>
      <c r="P7">
        <v>0</v>
      </c>
      <c r="Q7">
        <v>0.05</v>
      </c>
      <c r="R7">
        <v>0.93</v>
      </c>
      <c r="S7">
        <v>0.01</v>
      </c>
      <c r="T7">
        <v>0</v>
      </c>
      <c r="U7">
        <v>0</v>
      </c>
      <c r="W7">
        <v>0</v>
      </c>
      <c r="X7">
        <v>0.03</v>
      </c>
      <c r="Y7">
        <v>0.97</v>
      </c>
      <c r="Z7">
        <v>0</v>
      </c>
      <c r="AA7">
        <v>0</v>
      </c>
      <c r="AB7">
        <v>0</v>
      </c>
      <c r="AD7">
        <v>0</v>
      </c>
      <c r="AE7">
        <v>0</v>
      </c>
      <c r="AF7">
        <v>0.99</v>
      </c>
      <c r="AG7">
        <v>0</v>
      </c>
      <c r="AH7">
        <v>0.01</v>
      </c>
      <c r="AI7">
        <v>0</v>
      </c>
      <c r="AK7">
        <v>0.01</v>
      </c>
      <c r="AL7">
        <v>0</v>
      </c>
      <c r="AM7">
        <v>0.96</v>
      </c>
      <c r="AN7">
        <v>0.01</v>
      </c>
      <c r="AO7">
        <v>0.01</v>
      </c>
      <c r="AP7">
        <v>0</v>
      </c>
    </row>
    <row r="8" spans="1:42" x14ac:dyDescent="0.25">
      <c r="A8" t="s">
        <v>3</v>
      </c>
      <c r="B8" s="1">
        <f t="shared" si="1"/>
        <v>8.199999999999999E-2</v>
      </c>
      <c r="C8" s="1">
        <f t="shared" si="6"/>
        <v>7.400000000000001E-2</v>
      </c>
      <c r="D8" s="1">
        <f t="shared" si="2"/>
        <v>5.3999999999999992E-2</v>
      </c>
      <c r="E8" s="6">
        <f>AVERAGE(L8,S8,Z8,AG8,AN8)</f>
        <v>0.70399999999999996</v>
      </c>
      <c r="F8" s="1">
        <f t="shared" si="4"/>
        <v>0.02</v>
      </c>
      <c r="G8" s="1">
        <f t="shared" si="5"/>
        <v>6.4000000000000001E-2</v>
      </c>
      <c r="I8">
        <v>0.08</v>
      </c>
      <c r="J8">
        <v>7.0000000000000007E-2</v>
      </c>
      <c r="K8">
        <v>0.06</v>
      </c>
      <c r="L8">
        <v>0.68</v>
      </c>
      <c r="M8">
        <v>0.03</v>
      </c>
      <c r="N8">
        <v>0.08</v>
      </c>
      <c r="P8">
        <v>0.08</v>
      </c>
      <c r="Q8">
        <v>0.08</v>
      </c>
      <c r="R8">
        <v>0.06</v>
      </c>
      <c r="S8">
        <v>0.7</v>
      </c>
      <c r="T8">
        <v>0.01</v>
      </c>
      <c r="U8">
        <v>7.0000000000000007E-2</v>
      </c>
      <c r="W8">
        <v>0.09</v>
      </c>
      <c r="X8">
        <v>7.0000000000000007E-2</v>
      </c>
      <c r="Y8">
        <v>0.05</v>
      </c>
      <c r="Z8">
        <v>0.72</v>
      </c>
      <c r="AA8">
        <v>0.02</v>
      </c>
      <c r="AB8">
        <v>0.05</v>
      </c>
      <c r="AD8">
        <v>0.09</v>
      </c>
      <c r="AE8">
        <v>0.08</v>
      </c>
      <c r="AF8">
        <v>0.06</v>
      </c>
      <c r="AG8">
        <v>0.69</v>
      </c>
      <c r="AH8">
        <v>0.02</v>
      </c>
      <c r="AI8">
        <v>0.05</v>
      </c>
      <c r="AK8">
        <v>7.0000000000000007E-2</v>
      </c>
      <c r="AL8">
        <v>7.0000000000000007E-2</v>
      </c>
      <c r="AM8">
        <v>0.04</v>
      </c>
      <c r="AN8">
        <v>0.73</v>
      </c>
      <c r="AO8">
        <v>0.02</v>
      </c>
      <c r="AP8">
        <v>7.0000000000000007E-2</v>
      </c>
    </row>
    <row r="9" spans="1:42" x14ac:dyDescent="0.25">
      <c r="A9" t="s">
        <v>4</v>
      </c>
      <c r="B9" s="1">
        <f t="shared" si="1"/>
        <v>0.10600000000000001</v>
      </c>
      <c r="C9" s="1">
        <f t="shared" si="6"/>
        <v>0.15400000000000003</v>
      </c>
      <c r="D9" s="1">
        <f t="shared" si="2"/>
        <v>0.10200000000000001</v>
      </c>
      <c r="E9" s="1">
        <f t="shared" si="3"/>
        <v>0.124</v>
      </c>
      <c r="F9" s="6">
        <f>AVERAGE(M9,T9,AA9,AH9,AO9)</f>
        <v>0.35</v>
      </c>
      <c r="G9" s="1">
        <f t="shared" si="5"/>
        <v>0.16600000000000004</v>
      </c>
      <c r="I9">
        <v>0.12</v>
      </c>
      <c r="J9">
        <v>0.15</v>
      </c>
      <c r="K9">
        <v>0.09</v>
      </c>
      <c r="L9">
        <v>0.12</v>
      </c>
      <c r="M9">
        <v>0.35</v>
      </c>
      <c r="N9">
        <v>0.17</v>
      </c>
      <c r="P9">
        <v>0.13</v>
      </c>
      <c r="Q9">
        <v>0.14000000000000001</v>
      </c>
      <c r="R9">
        <v>0.11</v>
      </c>
      <c r="S9">
        <v>0.13</v>
      </c>
      <c r="T9">
        <v>0.35</v>
      </c>
      <c r="U9">
        <v>0.14000000000000001</v>
      </c>
      <c r="W9">
        <v>0.1</v>
      </c>
      <c r="X9">
        <v>0.16</v>
      </c>
      <c r="Y9">
        <v>0.12</v>
      </c>
      <c r="Z9">
        <v>0.13</v>
      </c>
      <c r="AA9">
        <v>0.33</v>
      </c>
      <c r="AB9">
        <v>0.17</v>
      </c>
      <c r="AD9">
        <v>0.08</v>
      </c>
      <c r="AE9">
        <v>0.18</v>
      </c>
      <c r="AF9">
        <v>0.09</v>
      </c>
      <c r="AG9">
        <v>0.1</v>
      </c>
      <c r="AH9">
        <v>0.36</v>
      </c>
      <c r="AI9">
        <v>0.19</v>
      </c>
      <c r="AK9">
        <v>0.1</v>
      </c>
      <c r="AL9">
        <v>0.14000000000000001</v>
      </c>
      <c r="AM9">
        <v>0.1</v>
      </c>
      <c r="AN9">
        <v>0.14000000000000001</v>
      </c>
      <c r="AO9">
        <v>0.36</v>
      </c>
      <c r="AP9">
        <v>0.16</v>
      </c>
    </row>
    <row r="10" spans="1:42" x14ac:dyDescent="0.25">
      <c r="A10" t="s">
        <v>5</v>
      </c>
      <c r="B10" s="1">
        <f t="shared" si="1"/>
        <v>3.4000000000000002E-2</v>
      </c>
      <c r="C10" s="1">
        <f t="shared" si="6"/>
        <v>2E-3</v>
      </c>
      <c r="D10" s="1">
        <f t="shared" si="2"/>
        <v>2E-3</v>
      </c>
      <c r="E10" s="1">
        <f t="shared" si="3"/>
        <v>4.0000000000000001E-3</v>
      </c>
      <c r="F10" s="1">
        <f t="shared" si="4"/>
        <v>8.0000000000000002E-3</v>
      </c>
      <c r="G10" s="6">
        <f>AVERAGE(N10,U10,AB10,AI10,AP10)</f>
        <v>0.95</v>
      </c>
      <c r="I10">
        <v>0.05</v>
      </c>
      <c r="J10">
        <v>0.01</v>
      </c>
      <c r="K10">
        <v>0</v>
      </c>
      <c r="L10">
        <v>0.01</v>
      </c>
      <c r="M10">
        <v>0.01</v>
      </c>
      <c r="N10">
        <v>0.92</v>
      </c>
      <c r="P10">
        <v>0.05</v>
      </c>
      <c r="Q10">
        <v>0</v>
      </c>
      <c r="R10">
        <v>0.01</v>
      </c>
      <c r="S10">
        <v>0</v>
      </c>
      <c r="T10">
        <v>0.01</v>
      </c>
      <c r="U10">
        <v>0.93</v>
      </c>
      <c r="W10">
        <v>0</v>
      </c>
      <c r="X10">
        <v>0</v>
      </c>
      <c r="Y10">
        <v>0</v>
      </c>
      <c r="Z10">
        <v>0</v>
      </c>
      <c r="AA10">
        <v>0.01</v>
      </c>
      <c r="AB10">
        <v>0.99</v>
      </c>
      <c r="AD10">
        <v>0.02</v>
      </c>
      <c r="AE10">
        <v>0</v>
      </c>
      <c r="AF10">
        <v>0</v>
      </c>
      <c r="AG10">
        <v>0</v>
      </c>
      <c r="AH10">
        <v>0</v>
      </c>
      <c r="AI10">
        <v>0.98</v>
      </c>
      <c r="AK10">
        <v>0.05</v>
      </c>
      <c r="AL10">
        <v>0</v>
      </c>
      <c r="AM10">
        <v>0</v>
      </c>
      <c r="AN10">
        <v>0.01</v>
      </c>
      <c r="AO10">
        <v>0.01</v>
      </c>
      <c r="AP10">
        <v>0.93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6">
        <f>AVERAGE(I12,P12,W12,AD12,AK12)</f>
        <v>0.82400000000000007</v>
      </c>
      <c r="C12" s="1"/>
      <c r="D12" s="1"/>
      <c r="E12" s="1"/>
      <c r="F12" s="1"/>
      <c r="G12" s="1"/>
      <c r="I12">
        <v>0.82</v>
      </c>
      <c r="J12">
        <v>935</v>
      </c>
      <c r="P12">
        <v>0.82</v>
      </c>
      <c r="Q12">
        <v>931</v>
      </c>
      <c r="W12">
        <v>0.83</v>
      </c>
      <c r="X12">
        <v>932</v>
      </c>
      <c r="AD12">
        <v>0.83</v>
      </c>
      <c r="AE12">
        <v>933</v>
      </c>
      <c r="AK12">
        <v>0.82</v>
      </c>
      <c r="AL12">
        <v>933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6">
        <f>AVERAGE(I16,P16,W16,AD16,AK16)</f>
        <v>0.53800000000000003</v>
      </c>
      <c r="C16" s="1">
        <f t="shared" ref="C16:C21" si="7">AVERAGE(J16,Q16,X16,AE16,AL16)</f>
        <v>1.2E-2</v>
      </c>
      <c r="D16" s="1">
        <f t="shared" ref="D16:D21" si="8">AVERAGE(K16,R16,Y16,AF16,AM16)</f>
        <v>4.8000000000000001E-2</v>
      </c>
      <c r="E16" s="1">
        <f t="shared" ref="E16:E21" si="9">AVERAGE(L16,S16,Z16,AG16,AN16)</f>
        <v>0.13400000000000001</v>
      </c>
      <c r="F16" s="1">
        <f t="shared" ref="F16:F21" si="10">AVERAGE(M16,T16,AA16,AH16,AO16)</f>
        <v>4.5999999999999999E-2</v>
      </c>
      <c r="G16" s="1">
        <f t="shared" ref="G16:G20" si="11">AVERAGE(N16,U16,AB16,AI16,AP16)</f>
        <v>0.22600000000000003</v>
      </c>
      <c r="I16">
        <v>0.47</v>
      </c>
      <c r="J16">
        <v>0</v>
      </c>
      <c r="K16">
        <v>0.18</v>
      </c>
      <c r="L16">
        <v>0.06</v>
      </c>
      <c r="M16">
        <v>0.06</v>
      </c>
      <c r="N16">
        <v>0.24</v>
      </c>
      <c r="P16">
        <v>0.61</v>
      </c>
      <c r="Q16">
        <v>0</v>
      </c>
      <c r="R16">
        <v>0</v>
      </c>
      <c r="S16">
        <v>0.11</v>
      </c>
      <c r="T16">
        <v>0.06</v>
      </c>
      <c r="U16">
        <v>0.22</v>
      </c>
      <c r="W16">
        <v>0.44</v>
      </c>
      <c r="X16">
        <v>0.06</v>
      </c>
      <c r="Y16">
        <v>0</v>
      </c>
      <c r="Z16">
        <v>0.22</v>
      </c>
      <c r="AA16">
        <v>0</v>
      </c>
      <c r="AB16">
        <v>0.28000000000000003</v>
      </c>
      <c r="AD16">
        <v>0.61</v>
      </c>
      <c r="AE16">
        <v>0</v>
      </c>
      <c r="AF16">
        <v>0</v>
      </c>
      <c r="AG16">
        <v>0.11</v>
      </c>
      <c r="AH16">
        <v>0</v>
      </c>
      <c r="AI16">
        <v>0.28000000000000003</v>
      </c>
      <c r="AK16">
        <v>0.56000000000000005</v>
      </c>
      <c r="AL16">
        <v>0</v>
      </c>
      <c r="AM16">
        <v>0.06</v>
      </c>
      <c r="AN16">
        <v>0.17</v>
      </c>
      <c r="AO16">
        <v>0.11</v>
      </c>
      <c r="AP16">
        <v>0.11</v>
      </c>
    </row>
    <row r="17" spans="1:42" x14ac:dyDescent="0.25">
      <c r="A17" t="s">
        <v>2</v>
      </c>
      <c r="B17" s="1">
        <f t="shared" ref="B17:B21" si="12">AVERAGE(I17,P17,W17,AD17,AK17)</f>
        <v>2.8000000000000004E-2</v>
      </c>
      <c r="C17" s="6">
        <f>AVERAGE(J17,Q17,X17,AE17,AL17)</f>
        <v>0.53600000000000003</v>
      </c>
      <c r="D17" s="1">
        <f t="shared" si="8"/>
        <v>0.14399999999999999</v>
      </c>
      <c r="E17" s="1">
        <f t="shared" si="9"/>
        <v>0.21200000000000002</v>
      </c>
      <c r="F17" s="1">
        <f t="shared" si="10"/>
        <v>0.04</v>
      </c>
      <c r="G17" s="1">
        <f t="shared" si="11"/>
        <v>0.04</v>
      </c>
      <c r="I17">
        <v>0</v>
      </c>
      <c r="J17">
        <v>0.27</v>
      </c>
      <c r="K17">
        <v>0.13</v>
      </c>
      <c r="L17">
        <v>0.53</v>
      </c>
      <c r="M17">
        <v>7.0000000000000007E-2</v>
      </c>
      <c r="N17">
        <v>0</v>
      </c>
      <c r="P17">
        <v>0</v>
      </c>
      <c r="Q17">
        <v>0.81</v>
      </c>
      <c r="R17">
        <v>0.06</v>
      </c>
      <c r="S17">
        <v>0.06</v>
      </c>
      <c r="T17">
        <v>0</v>
      </c>
      <c r="U17">
        <v>0.06</v>
      </c>
      <c r="W17">
        <v>7.0000000000000007E-2</v>
      </c>
      <c r="X17">
        <v>0.4</v>
      </c>
      <c r="Y17">
        <v>0.33</v>
      </c>
      <c r="Z17">
        <v>0.13</v>
      </c>
      <c r="AA17">
        <v>0</v>
      </c>
      <c r="AB17">
        <v>7.0000000000000007E-2</v>
      </c>
      <c r="AD17">
        <v>0</v>
      </c>
      <c r="AE17">
        <v>0.6</v>
      </c>
      <c r="AF17">
        <v>0.13</v>
      </c>
      <c r="AG17">
        <v>7.0000000000000007E-2</v>
      </c>
      <c r="AH17">
        <v>0.13</v>
      </c>
      <c r="AI17">
        <v>7.0000000000000007E-2</v>
      </c>
      <c r="AK17">
        <v>7.0000000000000007E-2</v>
      </c>
      <c r="AL17">
        <v>0.6</v>
      </c>
      <c r="AM17">
        <v>7.0000000000000007E-2</v>
      </c>
      <c r="AN17">
        <v>0.27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7.5999999999999998E-2</v>
      </c>
      <c r="C18" s="1">
        <f t="shared" si="7"/>
        <v>0.36199999999999999</v>
      </c>
      <c r="D18" s="6">
        <f>AVERAGE(K18,R18,Y18,AF18,AM18)</f>
        <v>0.308</v>
      </c>
      <c r="E18" s="1">
        <f t="shared" si="9"/>
        <v>0.128</v>
      </c>
      <c r="F18" s="1">
        <f t="shared" si="10"/>
        <v>8.3999999999999991E-2</v>
      </c>
      <c r="G18" s="1">
        <f t="shared" si="11"/>
        <v>4.2000000000000003E-2</v>
      </c>
      <c r="I18">
        <v>0.06</v>
      </c>
      <c r="J18">
        <v>0.33</v>
      </c>
      <c r="K18">
        <v>0.33</v>
      </c>
      <c r="L18">
        <v>0.06</v>
      </c>
      <c r="M18">
        <v>0.11</v>
      </c>
      <c r="N18">
        <v>0.11</v>
      </c>
      <c r="P18">
        <v>0.05</v>
      </c>
      <c r="Q18">
        <v>0.42</v>
      </c>
      <c r="R18">
        <v>0.26</v>
      </c>
      <c r="S18">
        <v>0.21</v>
      </c>
      <c r="T18">
        <v>0.05</v>
      </c>
      <c r="U18">
        <v>0</v>
      </c>
      <c r="W18">
        <v>0.05</v>
      </c>
      <c r="X18">
        <v>0.42</v>
      </c>
      <c r="Y18">
        <v>0.21</v>
      </c>
      <c r="Z18">
        <v>0.16</v>
      </c>
      <c r="AA18">
        <v>0.16</v>
      </c>
      <c r="AB18">
        <v>0</v>
      </c>
      <c r="AD18">
        <v>0.11</v>
      </c>
      <c r="AE18">
        <v>0.32</v>
      </c>
      <c r="AF18">
        <v>0.42</v>
      </c>
      <c r="AG18">
        <v>0.05</v>
      </c>
      <c r="AH18">
        <v>0.05</v>
      </c>
      <c r="AI18">
        <v>0.05</v>
      </c>
      <c r="AK18">
        <v>0.11</v>
      </c>
      <c r="AL18">
        <v>0.32</v>
      </c>
      <c r="AM18">
        <v>0.32</v>
      </c>
      <c r="AN18">
        <v>0.16</v>
      </c>
      <c r="AO18">
        <v>0.05</v>
      </c>
      <c r="AP18">
        <v>0.05</v>
      </c>
    </row>
    <row r="19" spans="1:42" x14ac:dyDescent="0.25">
      <c r="A19" t="s">
        <v>3</v>
      </c>
      <c r="B19" s="1">
        <f t="shared" si="12"/>
        <v>0.10999999999999999</v>
      </c>
      <c r="C19" s="1">
        <f t="shared" si="7"/>
        <v>0.13600000000000001</v>
      </c>
      <c r="D19" s="1">
        <f t="shared" si="8"/>
        <v>0.10600000000000001</v>
      </c>
      <c r="E19" s="6">
        <f>AVERAGE(L19,S19,Z19,AG19,AN19)</f>
        <v>0.48399999999999999</v>
      </c>
      <c r="F19" s="1">
        <f t="shared" si="10"/>
        <v>5.5999999999999994E-2</v>
      </c>
      <c r="G19" s="1">
        <f t="shared" si="11"/>
        <v>0.11200000000000002</v>
      </c>
      <c r="I19">
        <v>0.12</v>
      </c>
      <c r="J19">
        <v>0.09</v>
      </c>
      <c r="K19">
        <v>0.11</v>
      </c>
      <c r="L19">
        <v>0.51</v>
      </c>
      <c r="M19">
        <v>7.0000000000000007E-2</v>
      </c>
      <c r="N19">
        <v>0.11</v>
      </c>
      <c r="P19">
        <v>0.12</v>
      </c>
      <c r="Q19">
        <v>0.09</v>
      </c>
      <c r="R19">
        <v>0.15</v>
      </c>
      <c r="S19">
        <v>0.48</v>
      </c>
      <c r="T19">
        <v>0.06</v>
      </c>
      <c r="U19">
        <v>0.1</v>
      </c>
      <c r="W19">
        <v>0.09</v>
      </c>
      <c r="X19">
        <v>0.16</v>
      </c>
      <c r="Y19">
        <v>0.06</v>
      </c>
      <c r="Z19">
        <v>0.48</v>
      </c>
      <c r="AA19">
        <v>0.05</v>
      </c>
      <c r="AB19">
        <v>0.16</v>
      </c>
      <c r="AD19">
        <v>0.09</v>
      </c>
      <c r="AE19">
        <v>0.18</v>
      </c>
      <c r="AF19">
        <v>0.08</v>
      </c>
      <c r="AG19">
        <v>0.51</v>
      </c>
      <c r="AH19">
        <v>0.06</v>
      </c>
      <c r="AI19">
        <v>0.08</v>
      </c>
      <c r="AK19">
        <v>0.13</v>
      </c>
      <c r="AL19">
        <v>0.16</v>
      </c>
      <c r="AM19">
        <v>0.13</v>
      </c>
      <c r="AN19">
        <v>0.44</v>
      </c>
      <c r="AO19">
        <v>0.04</v>
      </c>
      <c r="AP19">
        <v>0.11</v>
      </c>
    </row>
    <row r="20" spans="1:42" x14ac:dyDescent="0.25">
      <c r="A20" t="s">
        <v>4</v>
      </c>
      <c r="B20" s="1">
        <f t="shared" si="12"/>
        <v>0.16400000000000001</v>
      </c>
      <c r="C20" s="1">
        <f t="shared" si="7"/>
        <v>0.182</v>
      </c>
      <c r="D20" s="1">
        <f t="shared" si="8"/>
        <v>0.156</v>
      </c>
      <c r="E20" s="1">
        <f t="shared" si="9"/>
        <v>0.17599999999999999</v>
      </c>
      <c r="F20" s="6">
        <f>AVERAGE(M20,T20,AA20,AH20,AO20)</f>
        <v>0.10799999999999998</v>
      </c>
      <c r="G20" s="1">
        <f t="shared" si="11"/>
        <v>0.21799999999999997</v>
      </c>
      <c r="I20">
        <v>0.16</v>
      </c>
      <c r="J20">
        <v>0.22</v>
      </c>
      <c r="K20">
        <v>0.18</v>
      </c>
      <c r="L20">
        <v>0.12</v>
      </c>
      <c r="M20">
        <v>0.12</v>
      </c>
      <c r="N20">
        <v>0.2</v>
      </c>
      <c r="P20">
        <v>0.11</v>
      </c>
      <c r="Q20">
        <v>0.19</v>
      </c>
      <c r="R20">
        <v>0.14000000000000001</v>
      </c>
      <c r="S20">
        <v>0.22</v>
      </c>
      <c r="T20">
        <v>0.18</v>
      </c>
      <c r="U20">
        <v>0.18</v>
      </c>
      <c r="W20">
        <v>0.12</v>
      </c>
      <c r="X20">
        <v>0.3</v>
      </c>
      <c r="Y20">
        <v>0.09</v>
      </c>
      <c r="Z20">
        <v>0.16</v>
      </c>
      <c r="AA20">
        <v>0.11</v>
      </c>
      <c r="AB20">
        <v>0.22</v>
      </c>
      <c r="AD20">
        <v>0.23</v>
      </c>
      <c r="AE20">
        <v>0.11</v>
      </c>
      <c r="AF20">
        <v>0.14000000000000001</v>
      </c>
      <c r="AG20">
        <v>0.16</v>
      </c>
      <c r="AH20">
        <v>0.05</v>
      </c>
      <c r="AI20">
        <v>0.31</v>
      </c>
      <c r="AK20">
        <v>0.2</v>
      </c>
      <c r="AL20">
        <v>0.09</v>
      </c>
      <c r="AM20">
        <v>0.23</v>
      </c>
      <c r="AN20">
        <v>0.22</v>
      </c>
      <c r="AO20">
        <v>0.08</v>
      </c>
      <c r="AP20">
        <v>0.18</v>
      </c>
    </row>
    <row r="21" spans="1:42" x14ac:dyDescent="0.25">
      <c r="A21" t="s">
        <v>5</v>
      </c>
      <c r="B21" s="1">
        <f t="shared" si="12"/>
        <v>0.3</v>
      </c>
      <c r="C21" s="1">
        <f t="shared" si="7"/>
        <v>4.5999999999999999E-2</v>
      </c>
      <c r="D21" s="1">
        <f t="shared" si="8"/>
        <v>7.5999999999999998E-2</v>
      </c>
      <c r="E21" s="1">
        <f t="shared" si="9"/>
        <v>5.6000000000000008E-2</v>
      </c>
      <c r="F21" s="1">
        <f t="shared" si="10"/>
        <v>0.11799999999999999</v>
      </c>
      <c r="G21" s="6">
        <f>AVERAGE(N21,U21,AB21,AI21,AP21)</f>
        <v>0.40800000000000003</v>
      </c>
      <c r="I21">
        <v>0.41</v>
      </c>
      <c r="J21">
        <v>0</v>
      </c>
      <c r="K21">
        <v>0.14000000000000001</v>
      </c>
      <c r="L21">
        <v>0</v>
      </c>
      <c r="M21">
        <v>0.18</v>
      </c>
      <c r="N21">
        <v>0.27</v>
      </c>
      <c r="P21">
        <v>0.23</v>
      </c>
      <c r="Q21">
        <v>0.09</v>
      </c>
      <c r="R21">
        <v>0.05</v>
      </c>
      <c r="S21">
        <v>0.05</v>
      </c>
      <c r="T21">
        <v>0</v>
      </c>
      <c r="U21">
        <v>0.59</v>
      </c>
      <c r="W21">
        <v>0.45</v>
      </c>
      <c r="X21">
        <v>0</v>
      </c>
      <c r="Y21">
        <v>0.05</v>
      </c>
      <c r="Z21">
        <v>0.05</v>
      </c>
      <c r="AA21">
        <v>0.18</v>
      </c>
      <c r="AB21">
        <v>0.27</v>
      </c>
      <c r="AD21">
        <v>0.14000000000000001</v>
      </c>
      <c r="AE21">
        <v>0.09</v>
      </c>
      <c r="AF21">
        <v>0.05</v>
      </c>
      <c r="AG21">
        <v>0.09</v>
      </c>
      <c r="AH21">
        <v>0.14000000000000001</v>
      </c>
      <c r="AI21">
        <v>0.5</v>
      </c>
      <c r="AK21">
        <v>0.27</v>
      </c>
      <c r="AL21">
        <v>0.05</v>
      </c>
      <c r="AM21">
        <v>0.09</v>
      </c>
      <c r="AN21">
        <v>0.09</v>
      </c>
      <c r="AO21">
        <v>0.09</v>
      </c>
      <c r="AP21">
        <v>0.41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6">
        <f>AVERAGE(I23,P23,W23,AD23,AK23)</f>
        <v>0.39800000000000002</v>
      </c>
      <c r="C23" s="1"/>
      <c r="D23" s="1"/>
      <c r="E23" s="1"/>
      <c r="F23" s="1"/>
      <c r="G23" s="1"/>
      <c r="I23">
        <v>0.33</v>
      </c>
      <c r="J23">
        <v>231</v>
      </c>
      <c r="P23">
        <v>0.49</v>
      </c>
      <c r="Q23">
        <v>235</v>
      </c>
      <c r="W23">
        <v>0.32</v>
      </c>
      <c r="X23">
        <v>234</v>
      </c>
      <c r="AD23">
        <v>0.45</v>
      </c>
      <c r="AE23">
        <v>233</v>
      </c>
      <c r="AK23">
        <v>0.4</v>
      </c>
      <c r="AL23">
        <v>233</v>
      </c>
    </row>
    <row r="29" spans="1:42" x14ac:dyDescent="0.25">
      <c r="X29" t="s">
        <v>0</v>
      </c>
      <c r="Y29">
        <v>71</v>
      </c>
      <c r="Z29">
        <v>18</v>
      </c>
      <c r="AA29">
        <f>Z29/(Y29+Z29)</f>
        <v>0.20224719101123595</v>
      </c>
      <c r="AB29">
        <f t="shared" ref="AB29:AB34" si="13">SUM(Y29,Z29)</f>
        <v>89</v>
      </c>
    </row>
    <row r="30" spans="1:42" x14ac:dyDescent="0.25">
      <c r="X30" t="s">
        <v>2</v>
      </c>
      <c r="Y30">
        <v>61</v>
      </c>
      <c r="Z30">
        <v>15</v>
      </c>
      <c r="AA30">
        <f t="shared" ref="AA30:AA34" si="14">Z30/(Y30+Z30)</f>
        <v>0.19736842105263158</v>
      </c>
      <c r="AB30">
        <f t="shared" si="13"/>
        <v>76</v>
      </c>
    </row>
    <row r="31" spans="1:42" x14ac:dyDescent="0.25">
      <c r="G31" t="s">
        <v>0</v>
      </c>
      <c r="H31" t="s">
        <v>2</v>
      </c>
      <c r="I31" t="s">
        <v>1</v>
      </c>
      <c r="J31" t="s">
        <v>3</v>
      </c>
      <c r="K31" t="s">
        <v>4</v>
      </c>
      <c r="L31" t="s">
        <v>5</v>
      </c>
      <c r="M31" t="s">
        <v>0</v>
      </c>
      <c r="N31" t="s">
        <v>2</v>
      </c>
      <c r="O31" t="s">
        <v>1</v>
      </c>
      <c r="P31" t="s">
        <v>3</v>
      </c>
      <c r="Q31" t="s">
        <v>4</v>
      </c>
      <c r="R31" t="s">
        <v>5</v>
      </c>
      <c r="X31" t="s">
        <v>1</v>
      </c>
      <c r="Y31">
        <v>75</v>
      </c>
      <c r="Z31">
        <v>19</v>
      </c>
      <c r="AA31">
        <f t="shared" si="14"/>
        <v>0.20212765957446807</v>
      </c>
      <c r="AB31">
        <f t="shared" si="13"/>
        <v>94</v>
      </c>
    </row>
    <row r="32" spans="1:42" x14ac:dyDescent="0.25">
      <c r="F32" t="s">
        <v>0</v>
      </c>
      <c r="G32" s="6">
        <v>0.99199999999999999</v>
      </c>
      <c r="H32" s="1">
        <v>0</v>
      </c>
      <c r="I32" s="1">
        <v>4.0000000000000001E-3</v>
      </c>
      <c r="J32" s="1">
        <v>0</v>
      </c>
      <c r="K32" s="1">
        <v>2E-3</v>
      </c>
      <c r="L32" s="1">
        <v>2E-3</v>
      </c>
      <c r="M32" s="6">
        <v>0.97857142857142854</v>
      </c>
      <c r="N32" s="1">
        <v>0</v>
      </c>
      <c r="O32" s="1">
        <v>7.1428571428571435E-3</v>
      </c>
      <c r="P32" s="1">
        <v>0</v>
      </c>
      <c r="Q32" s="1">
        <v>0</v>
      </c>
      <c r="R32" s="1">
        <v>1.2857142857142857E-2</v>
      </c>
      <c r="X32" t="s">
        <v>3</v>
      </c>
      <c r="Y32">
        <v>342</v>
      </c>
      <c r="Z32">
        <v>85</v>
      </c>
      <c r="AA32">
        <f t="shared" si="14"/>
        <v>0.19906323185011709</v>
      </c>
      <c r="AB32">
        <f t="shared" si="13"/>
        <v>427</v>
      </c>
    </row>
    <row r="33" spans="6:28" x14ac:dyDescent="0.25">
      <c r="F33" t="s">
        <v>2</v>
      </c>
      <c r="G33" s="1">
        <v>0</v>
      </c>
      <c r="H33" s="6">
        <v>0.99</v>
      </c>
      <c r="I33" s="1">
        <v>4.0000000000000001E-3</v>
      </c>
      <c r="J33" s="1">
        <v>4.0000000000000001E-3</v>
      </c>
      <c r="K33" s="1">
        <v>0</v>
      </c>
      <c r="L33" s="1">
        <v>4.0000000000000001E-3</v>
      </c>
      <c r="M33" s="1">
        <v>2.8571428571428571E-3</v>
      </c>
      <c r="N33" s="6">
        <v>0.98142857142857154</v>
      </c>
      <c r="O33" s="1">
        <v>0</v>
      </c>
      <c r="P33" s="1">
        <v>8.5714285714285719E-3</v>
      </c>
      <c r="Q33" s="1">
        <v>5.7142857142857143E-3</v>
      </c>
      <c r="R33" s="1">
        <v>2.8571428571428571E-3</v>
      </c>
      <c r="X33" t="s">
        <v>4</v>
      </c>
      <c r="Y33">
        <v>296</v>
      </c>
      <c r="Z33">
        <v>74</v>
      </c>
      <c r="AA33">
        <f t="shared" si="14"/>
        <v>0.2</v>
      </c>
      <c r="AB33">
        <f t="shared" si="13"/>
        <v>370</v>
      </c>
    </row>
    <row r="34" spans="6:28" x14ac:dyDescent="0.25">
      <c r="F34" t="s">
        <v>1</v>
      </c>
      <c r="G34" s="1">
        <v>2E-3</v>
      </c>
      <c r="H34" s="1">
        <v>1.6E-2</v>
      </c>
      <c r="I34" s="6">
        <v>0.96400000000000008</v>
      </c>
      <c r="J34" s="1">
        <v>0.01</v>
      </c>
      <c r="K34" s="1">
        <v>4.0000000000000001E-3</v>
      </c>
      <c r="L34" s="1">
        <v>0</v>
      </c>
      <c r="M34" s="1">
        <v>1.4285714285714286E-3</v>
      </c>
      <c r="N34" s="1">
        <v>2.4285714285714289E-2</v>
      </c>
      <c r="O34" s="6">
        <v>0.95999999999999985</v>
      </c>
      <c r="P34" s="1">
        <v>1.4285714285714285E-2</v>
      </c>
      <c r="Q34" s="1">
        <v>1.4285714285714286E-3</v>
      </c>
      <c r="R34" s="1">
        <v>0</v>
      </c>
      <c r="X34" t="s">
        <v>5</v>
      </c>
      <c r="Y34">
        <v>88</v>
      </c>
      <c r="Z34">
        <v>22</v>
      </c>
      <c r="AA34">
        <f t="shared" si="14"/>
        <v>0.2</v>
      </c>
      <c r="AB34">
        <f t="shared" si="13"/>
        <v>110</v>
      </c>
    </row>
    <row r="35" spans="6:28" x14ac:dyDescent="0.25">
      <c r="F35" t="s">
        <v>3</v>
      </c>
      <c r="G35" s="1">
        <v>8.199999999999999E-2</v>
      </c>
      <c r="H35" s="1">
        <v>7.400000000000001E-2</v>
      </c>
      <c r="I35" s="1">
        <v>5.3999999999999992E-2</v>
      </c>
      <c r="J35" s="6">
        <v>0.70399999999999996</v>
      </c>
      <c r="K35" s="1">
        <v>0.02</v>
      </c>
      <c r="L35" s="1">
        <v>6.4000000000000001E-2</v>
      </c>
      <c r="M35" s="1">
        <v>7.0000000000000007E-2</v>
      </c>
      <c r="N35" s="1">
        <v>7.571428571428572E-2</v>
      </c>
      <c r="O35" s="1">
        <v>6.5714285714285711E-2</v>
      </c>
      <c r="P35" s="6">
        <v>0.68857142857142861</v>
      </c>
      <c r="Q35" s="1">
        <v>3.7142857142857144E-2</v>
      </c>
      <c r="R35" s="1">
        <v>6.7142857142857143E-2</v>
      </c>
    </row>
    <row r="36" spans="6:28" x14ac:dyDescent="0.25">
      <c r="F36" t="s">
        <v>4</v>
      </c>
      <c r="G36" s="1">
        <v>0.10600000000000001</v>
      </c>
      <c r="H36" s="1">
        <v>0.15400000000000003</v>
      </c>
      <c r="I36" s="1">
        <v>0.10200000000000001</v>
      </c>
      <c r="J36" s="1">
        <v>0.124</v>
      </c>
      <c r="K36" s="6">
        <v>0.35</v>
      </c>
      <c r="L36" s="1">
        <v>0.16600000000000004</v>
      </c>
      <c r="M36" s="1">
        <v>0.11285714285714285</v>
      </c>
      <c r="N36" s="1">
        <v>0.16285714285714287</v>
      </c>
      <c r="O36" s="1">
        <v>0.11142857142857143</v>
      </c>
      <c r="P36" s="1">
        <v>0.12571428571428572</v>
      </c>
      <c r="Q36" s="6">
        <v>0.30285714285714288</v>
      </c>
      <c r="R36" s="1">
        <v>0.18285714285714286</v>
      </c>
    </row>
    <row r="37" spans="6:28" x14ac:dyDescent="0.25">
      <c r="F37" t="s">
        <v>5</v>
      </c>
      <c r="G37" s="1">
        <v>3.4000000000000002E-2</v>
      </c>
      <c r="H37" s="1">
        <v>2E-3</v>
      </c>
      <c r="I37" s="1">
        <v>2E-3</v>
      </c>
      <c r="J37" s="1">
        <v>4.0000000000000001E-3</v>
      </c>
      <c r="K37" s="1">
        <v>8.0000000000000002E-3</v>
      </c>
      <c r="L37" s="6">
        <v>0.95</v>
      </c>
      <c r="M37" s="1">
        <v>2.8571428571428574E-2</v>
      </c>
      <c r="N37" s="1">
        <v>1.4285714285714286E-3</v>
      </c>
      <c r="O37" s="1">
        <v>8.5714285714285719E-3</v>
      </c>
      <c r="P37" s="1">
        <v>8.5714285714285719E-3</v>
      </c>
      <c r="Q37" s="1">
        <v>7.1428571428571435E-3</v>
      </c>
      <c r="R37" s="6">
        <v>0.94285714285714284</v>
      </c>
    </row>
    <row r="38" spans="6:28" x14ac:dyDescent="0.25"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6:28" x14ac:dyDescent="0.25">
      <c r="G39" s="6">
        <v>0.82400000000000007</v>
      </c>
      <c r="H39" s="1"/>
      <c r="I39" s="1"/>
      <c r="J39" s="1"/>
      <c r="K39" s="1"/>
      <c r="L39" s="1"/>
      <c r="M39" s="6">
        <v>0.80857142857142861</v>
      </c>
      <c r="N39" s="1"/>
      <c r="O39" s="1"/>
      <c r="P39" s="1"/>
      <c r="Q39" s="1"/>
      <c r="R39" s="1"/>
    </row>
    <row r="40" spans="6:28" x14ac:dyDescent="0.25"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6:28" x14ac:dyDescent="0.25"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6:28" x14ac:dyDescent="0.25">
      <c r="G42" t="s">
        <v>0</v>
      </c>
      <c r="H42" t="s">
        <v>2</v>
      </c>
      <c r="I42" t="s">
        <v>1</v>
      </c>
      <c r="J42" t="s">
        <v>3</v>
      </c>
      <c r="K42" t="s">
        <v>4</v>
      </c>
      <c r="L42" t="s">
        <v>5</v>
      </c>
      <c r="M42" t="s">
        <v>0</v>
      </c>
      <c r="N42" t="s">
        <v>2</v>
      </c>
      <c r="O42" t="s">
        <v>1</v>
      </c>
      <c r="P42" t="s">
        <v>3</v>
      </c>
      <c r="Q42" t="s">
        <v>4</v>
      </c>
      <c r="R42" t="s">
        <v>5</v>
      </c>
    </row>
    <row r="43" spans="6:28" x14ac:dyDescent="0.25">
      <c r="F43" t="s">
        <v>0</v>
      </c>
      <c r="G43" s="6">
        <v>0.53800000000000003</v>
      </c>
      <c r="H43" s="1">
        <v>1.2E-2</v>
      </c>
      <c r="I43" s="1">
        <v>4.8000000000000001E-2</v>
      </c>
      <c r="J43" s="1">
        <v>0.13400000000000001</v>
      </c>
      <c r="K43" s="1">
        <v>4.5999999999999999E-2</v>
      </c>
      <c r="L43" s="1">
        <v>0.22600000000000003</v>
      </c>
      <c r="M43" s="6">
        <v>0.55142857142857138</v>
      </c>
      <c r="N43" s="1">
        <v>1.1428571428571429E-2</v>
      </c>
      <c r="O43" s="1">
        <v>4.4285714285714282E-2</v>
      </c>
      <c r="P43" s="1">
        <v>0.10142857142857142</v>
      </c>
      <c r="Q43" s="1">
        <v>6.4285714285714279E-2</v>
      </c>
      <c r="R43" s="1">
        <v>0.22428571428571428</v>
      </c>
    </row>
    <row r="44" spans="6:28" x14ac:dyDescent="0.25">
      <c r="F44" t="s">
        <v>2</v>
      </c>
      <c r="G44" s="1">
        <v>2.8000000000000004E-2</v>
      </c>
      <c r="H44" s="6">
        <v>0.53600000000000003</v>
      </c>
      <c r="I44" s="1">
        <v>0.14399999999999999</v>
      </c>
      <c r="J44" s="1">
        <v>0.21200000000000002</v>
      </c>
      <c r="K44" s="1">
        <v>0.04</v>
      </c>
      <c r="L44" s="1">
        <v>0.04</v>
      </c>
      <c r="M44" s="1">
        <v>5.2857142857142859E-2</v>
      </c>
      <c r="N44" s="6">
        <v>0.49714285714285722</v>
      </c>
      <c r="O44" s="1">
        <v>0.22285714285714284</v>
      </c>
      <c r="P44" s="1">
        <v>9.2857142857142846E-2</v>
      </c>
      <c r="Q44" s="1">
        <v>0.10428571428571429</v>
      </c>
      <c r="R44" s="1">
        <v>2.7142857142857142E-2</v>
      </c>
    </row>
    <row r="45" spans="6:28" x14ac:dyDescent="0.25">
      <c r="F45" t="s">
        <v>1</v>
      </c>
      <c r="G45" s="1">
        <v>7.5999999999999998E-2</v>
      </c>
      <c r="H45" s="1">
        <v>0.36199999999999999</v>
      </c>
      <c r="I45" s="6">
        <v>0.308</v>
      </c>
      <c r="J45" s="1">
        <v>0.128</v>
      </c>
      <c r="K45" s="1">
        <v>8.3999999999999991E-2</v>
      </c>
      <c r="L45" s="1">
        <v>4.2000000000000003E-2</v>
      </c>
      <c r="M45" s="1">
        <v>5.4285714285714291E-2</v>
      </c>
      <c r="N45" s="1">
        <v>0.28714285714285709</v>
      </c>
      <c r="O45" s="6">
        <v>0.36428571428571432</v>
      </c>
      <c r="P45" s="1">
        <v>0.19999999999999998</v>
      </c>
      <c r="Q45" s="1">
        <v>6.1428571428571437E-2</v>
      </c>
      <c r="R45" s="1">
        <v>3.2857142857142863E-2</v>
      </c>
    </row>
    <row r="46" spans="6:28" x14ac:dyDescent="0.25">
      <c r="F46" t="s">
        <v>3</v>
      </c>
      <c r="G46" s="1">
        <v>0.10999999999999999</v>
      </c>
      <c r="H46" s="1">
        <v>0.13600000000000001</v>
      </c>
      <c r="I46" s="1">
        <v>0.10600000000000001</v>
      </c>
      <c r="J46" s="6">
        <v>0.48399999999999999</v>
      </c>
      <c r="K46" s="1">
        <v>5.5999999999999994E-2</v>
      </c>
      <c r="L46" s="1">
        <v>0.11200000000000002</v>
      </c>
      <c r="M46" s="1">
        <v>0.11857142857142855</v>
      </c>
      <c r="N46" s="1">
        <v>0.16285714285714287</v>
      </c>
      <c r="O46" s="1">
        <v>9.5714285714285738E-2</v>
      </c>
      <c r="P46" s="6">
        <v>0.46142857142857141</v>
      </c>
      <c r="Q46" s="1">
        <v>5.4285714285714284E-2</v>
      </c>
      <c r="R46" s="1">
        <v>0.10428571428571429</v>
      </c>
    </row>
    <row r="47" spans="6:28" x14ac:dyDescent="0.25">
      <c r="F47" t="s">
        <v>4</v>
      </c>
      <c r="G47" s="1">
        <v>0.16400000000000001</v>
      </c>
      <c r="H47" s="1">
        <v>0.182</v>
      </c>
      <c r="I47" s="1">
        <v>0.156</v>
      </c>
      <c r="J47" s="1">
        <v>0.17599999999999999</v>
      </c>
      <c r="K47" s="6">
        <v>0.10799999999999998</v>
      </c>
      <c r="L47" s="1">
        <v>0.21799999999999997</v>
      </c>
      <c r="M47" s="1">
        <v>0.1242857142857143</v>
      </c>
      <c r="N47" s="1">
        <v>0.16857142857142859</v>
      </c>
      <c r="O47" s="1">
        <v>0.16142857142857142</v>
      </c>
      <c r="P47" s="1">
        <v>0.18571428571428572</v>
      </c>
      <c r="Q47" s="6">
        <v>0.10714285714285714</v>
      </c>
      <c r="R47" s="1">
        <v>0.24857142857142853</v>
      </c>
    </row>
    <row r="48" spans="6:28" x14ac:dyDescent="0.25">
      <c r="F48" t="s">
        <v>5</v>
      </c>
      <c r="G48" s="1">
        <v>0.3</v>
      </c>
      <c r="H48" s="1">
        <v>4.5999999999999999E-2</v>
      </c>
      <c r="I48" s="1">
        <v>7.5999999999999998E-2</v>
      </c>
      <c r="J48" s="1">
        <v>5.6000000000000008E-2</v>
      </c>
      <c r="K48" s="1">
        <v>0.11799999999999999</v>
      </c>
      <c r="L48" s="6">
        <v>0.40800000000000003</v>
      </c>
      <c r="M48" s="1">
        <v>0.23714285714285716</v>
      </c>
      <c r="N48" s="1">
        <v>4.4285714285714282E-2</v>
      </c>
      <c r="O48" s="1">
        <v>7.571428571428572E-2</v>
      </c>
      <c r="P48" s="1">
        <v>8.1428571428571433E-2</v>
      </c>
      <c r="Q48" s="1">
        <v>8.1428571428571433E-2</v>
      </c>
      <c r="R48" s="6">
        <v>0.48142857142857143</v>
      </c>
    </row>
    <row r="49" spans="7:18" x14ac:dyDescent="0.25"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7:18" x14ac:dyDescent="0.25">
      <c r="G50" s="6">
        <v>0.39800000000000002</v>
      </c>
      <c r="H50" s="1"/>
      <c r="I50" s="1"/>
      <c r="J50" s="1"/>
      <c r="K50" s="1"/>
      <c r="L50" s="1"/>
      <c r="M50" s="6">
        <v>0.40857142857142853</v>
      </c>
      <c r="N50" s="1"/>
      <c r="O50" s="1"/>
      <c r="P50" s="1"/>
      <c r="Q50" s="1"/>
      <c r="R50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F7E89-AD30-4877-8685-76AA9E5F5561}">
  <dimension ref="A4:BE23"/>
  <sheetViews>
    <sheetView zoomScale="85" zoomScaleNormal="85" workbookViewId="0">
      <selection activeCell="F20" sqref="F20"/>
    </sheetView>
  </sheetViews>
  <sheetFormatPr defaultRowHeight="15" x14ac:dyDescent="0.25"/>
  <sheetData>
    <row r="4" spans="1:57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57" x14ac:dyDescent="0.25">
      <c r="A5" t="s">
        <v>0</v>
      </c>
      <c r="B5" s="6">
        <f>AVERAGE(I5,P5,W5,AD5,AK5,AS5,AZ5)</f>
        <v>0.97857142857142854</v>
      </c>
      <c r="C5" s="1">
        <f t="shared" ref="C5:F5" si="0">AVERAGE(J5,Q5,X5,AE5,AL5,AT5,BA5)</f>
        <v>0</v>
      </c>
      <c r="D5" s="1">
        <f t="shared" si="0"/>
        <v>7.1428571428571435E-3</v>
      </c>
      <c r="E5" s="1">
        <f t="shared" si="0"/>
        <v>0</v>
      </c>
      <c r="F5" s="1">
        <f t="shared" si="0"/>
        <v>0</v>
      </c>
      <c r="G5" s="1">
        <f>AVERAGE(N5,U5,AB5,AI5,AP5,AX5,BE5)</f>
        <v>1.2857142857142857E-2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P5">
        <v>0.97</v>
      </c>
      <c r="Q5">
        <v>0</v>
      </c>
      <c r="R5">
        <v>0.01</v>
      </c>
      <c r="S5">
        <v>0</v>
      </c>
      <c r="T5">
        <v>0</v>
      </c>
      <c r="U5">
        <v>0.01</v>
      </c>
      <c r="W5">
        <v>0.99</v>
      </c>
      <c r="X5">
        <v>0</v>
      </c>
      <c r="Y5">
        <v>0</v>
      </c>
      <c r="Z5">
        <v>0</v>
      </c>
      <c r="AA5">
        <v>0</v>
      </c>
      <c r="AB5">
        <v>0.01</v>
      </c>
      <c r="AD5">
        <v>1</v>
      </c>
      <c r="AE5">
        <v>0</v>
      </c>
      <c r="AF5">
        <v>0</v>
      </c>
      <c r="AG5">
        <v>0</v>
      </c>
      <c r="AH5">
        <v>0</v>
      </c>
      <c r="AI5">
        <v>0</v>
      </c>
      <c r="AK5">
        <v>0.95</v>
      </c>
      <c r="AL5">
        <v>0</v>
      </c>
      <c r="AM5">
        <v>0.03</v>
      </c>
      <c r="AN5">
        <v>0</v>
      </c>
      <c r="AO5">
        <v>0</v>
      </c>
      <c r="AP5">
        <v>0.03</v>
      </c>
      <c r="AS5">
        <v>0.97</v>
      </c>
      <c r="AT5">
        <v>0</v>
      </c>
      <c r="AU5">
        <v>0</v>
      </c>
      <c r="AV5">
        <v>0</v>
      </c>
      <c r="AW5">
        <v>0</v>
      </c>
      <c r="AX5">
        <v>0.03</v>
      </c>
      <c r="AZ5">
        <v>0.97</v>
      </c>
      <c r="BA5">
        <v>0</v>
      </c>
      <c r="BB5">
        <v>0.01</v>
      </c>
      <c r="BC5">
        <v>0</v>
      </c>
      <c r="BD5">
        <v>0</v>
      </c>
      <c r="BE5">
        <v>0.01</v>
      </c>
    </row>
    <row r="6" spans="1:57" x14ac:dyDescent="0.25">
      <c r="A6" t="s">
        <v>2</v>
      </c>
      <c r="B6" s="1">
        <f>AVERAGE(I6,P6,W6,AD6,AK6,AS6,AZ6)</f>
        <v>2.8571428571428571E-3</v>
      </c>
      <c r="C6" s="6">
        <f>AVERAGE(J6,Q6,X6,AE6,AL6,AT6,BA6)</f>
        <v>0.98142857142857154</v>
      </c>
      <c r="D6" s="1">
        <f t="shared" ref="C5:G6" si="1">AVERAGE(K6,R6,Y6,AF6,AM6,AU6,BB6)</f>
        <v>0</v>
      </c>
      <c r="E6" s="1">
        <f t="shared" si="1"/>
        <v>8.5714285714285719E-3</v>
      </c>
      <c r="F6" s="1">
        <f t="shared" si="1"/>
        <v>5.7142857142857143E-3</v>
      </c>
      <c r="G6" s="1">
        <f t="shared" si="1"/>
        <v>2.8571428571428571E-3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0.98</v>
      </c>
      <c r="R6">
        <v>0</v>
      </c>
      <c r="S6">
        <v>0</v>
      </c>
      <c r="T6">
        <v>0.02</v>
      </c>
      <c r="U6">
        <v>0</v>
      </c>
      <c r="W6">
        <v>0</v>
      </c>
      <c r="X6">
        <v>0.97</v>
      </c>
      <c r="Y6">
        <v>0</v>
      </c>
      <c r="Z6">
        <v>0</v>
      </c>
      <c r="AA6">
        <v>0.02</v>
      </c>
      <c r="AB6">
        <v>0.02</v>
      </c>
      <c r="AD6">
        <v>0</v>
      </c>
      <c r="AE6">
        <v>0.98</v>
      </c>
      <c r="AF6">
        <v>0</v>
      </c>
      <c r="AG6">
        <v>0.02</v>
      </c>
      <c r="AH6">
        <v>0</v>
      </c>
      <c r="AI6">
        <v>0</v>
      </c>
      <c r="AK6">
        <v>0</v>
      </c>
      <c r="AL6">
        <v>0.98</v>
      </c>
      <c r="AM6">
        <v>0</v>
      </c>
      <c r="AN6">
        <v>0.02</v>
      </c>
      <c r="AO6">
        <v>0</v>
      </c>
      <c r="AP6">
        <v>0</v>
      </c>
      <c r="AS6">
        <v>0</v>
      </c>
      <c r="AT6">
        <v>0.98</v>
      </c>
      <c r="AU6">
        <v>0</v>
      </c>
      <c r="AV6">
        <v>0.02</v>
      </c>
      <c r="AW6">
        <v>0</v>
      </c>
      <c r="AX6">
        <v>0</v>
      </c>
      <c r="AZ6">
        <v>0.02</v>
      </c>
      <c r="BA6">
        <v>0.98</v>
      </c>
      <c r="BB6">
        <v>0</v>
      </c>
      <c r="BC6">
        <v>0</v>
      </c>
      <c r="BD6">
        <v>0</v>
      </c>
      <c r="BE6">
        <v>0</v>
      </c>
    </row>
    <row r="7" spans="1:57" x14ac:dyDescent="0.25">
      <c r="A7" t="s">
        <v>1</v>
      </c>
      <c r="B7" s="1">
        <f t="shared" ref="B7:B10" si="2">AVERAGE(I7,P7,W7,AD7,AK7,AS7,AZ7)</f>
        <v>1.4285714285714286E-3</v>
      </c>
      <c r="C7" s="1">
        <f t="shared" ref="C7:C10" si="3">AVERAGE(J7,Q7,X7,AE7,AL7,AT7,BA7)</f>
        <v>2.4285714285714289E-2</v>
      </c>
      <c r="D7" s="6">
        <f>AVERAGE(K7,R7,Y7,AF7,AM7,AU7,BB7)</f>
        <v>0.95999999999999985</v>
      </c>
      <c r="E7" s="1">
        <f t="shared" ref="E7:E10" si="4">AVERAGE(L7,S7,Z7,AG7,AN7,AV7,BC7)</f>
        <v>1.4285714285714285E-2</v>
      </c>
      <c r="F7" s="1">
        <f t="shared" ref="F7:F10" si="5">AVERAGE(M7,T7,AA7,AH7,AO7,AW7,BD7)</f>
        <v>1.4285714285714286E-3</v>
      </c>
      <c r="G7" s="1">
        <f t="shared" ref="G7:G10" si="6">AVERAGE(N7,U7,AB7,AI7,AP7,AX7,BE7)</f>
        <v>0</v>
      </c>
      <c r="I7">
        <v>0</v>
      </c>
      <c r="J7">
        <v>0.02</v>
      </c>
      <c r="K7">
        <v>0.98</v>
      </c>
      <c r="L7">
        <v>0</v>
      </c>
      <c r="M7">
        <v>0</v>
      </c>
      <c r="N7">
        <v>0</v>
      </c>
      <c r="P7">
        <v>0</v>
      </c>
      <c r="Q7">
        <v>0.04</v>
      </c>
      <c r="R7">
        <v>0.94</v>
      </c>
      <c r="S7">
        <v>0.03</v>
      </c>
      <c r="T7">
        <v>0</v>
      </c>
      <c r="U7">
        <v>0</v>
      </c>
      <c r="W7">
        <v>0</v>
      </c>
      <c r="X7">
        <v>0.01</v>
      </c>
      <c r="Y7">
        <v>0.98</v>
      </c>
      <c r="Z7">
        <v>0.01</v>
      </c>
      <c r="AA7">
        <v>0</v>
      </c>
      <c r="AB7">
        <v>0</v>
      </c>
      <c r="AD7">
        <v>0</v>
      </c>
      <c r="AE7">
        <v>0</v>
      </c>
      <c r="AF7">
        <v>0.95</v>
      </c>
      <c r="AG7">
        <v>0.04</v>
      </c>
      <c r="AH7">
        <v>0.01</v>
      </c>
      <c r="AI7">
        <v>0</v>
      </c>
      <c r="AK7">
        <v>0</v>
      </c>
      <c r="AL7">
        <v>0.06</v>
      </c>
      <c r="AM7">
        <v>0.93</v>
      </c>
      <c r="AN7">
        <v>0.01</v>
      </c>
      <c r="AO7">
        <v>0</v>
      </c>
      <c r="AP7">
        <v>0</v>
      </c>
      <c r="AS7">
        <v>0.01</v>
      </c>
      <c r="AT7">
        <v>0.04</v>
      </c>
      <c r="AU7">
        <v>0.94</v>
      </c>
      <c r="AV7">
        <v>0.01</v>
      </c>
      <c r="AW7">
        <v>0</v>
      </c>
      <c r="AX7">
        <v>0</v>
      </c>
      <c r="AZ7">
        <v>0</v>
      </c>
      <c r="BA7">
        <v>0</v>
      </c>
      <c r="BB7">
        <v>1</v>
      </c>
      <c r="BC7">
        <v>0</v>
      </c>
      <c r="BD7">
        <v>0</v>
      </c>
      <c r="BE7">
        <v>0</v>
      </c>
    </row>
    <row r="8" spans="1:57" x14ac:dyDescent="0.25">
      <c r="A8" t="s">
        <v>3</v>
      </c>
      <c r="B8" s="1">
        <f t="shared" si="2"/>
        <v>7.0000000000000007E-2</v>
      </c>
      <c r="C8" s="1">
        <f t="shared" si="3"/>
        <v>7.571428571428572E-2</v>
      </c>
      <c r="D8" s="1">
        <f t="shared" ref="D7:D10" si="7">AVERAGE(K8,R8,Y8,AF8,AM8,AU8,BB8)</f>
        <v>6.5714285714285711E-2</v>
      </c>
      <c r="E8" s="6">
        <f>AVERAGE(L8,S8,Z8,AG8,AN8,AV8,BC8)</f>
        <v>0.68857142857142861</v>
      </c>
      <c r="F8" s="1">
        <f t="shared" si="5"/>
        <v>3.7142857142857144E-2</v>
      </c>
      <c r="G8" s="1">
        <f t="shared" si="6"/>
        <v>6.7142857142857143E-2</v>
      </c>
      <c r="I8">
        <v>7.0000000000000007E-2</v>
      </c>
      <c r="J8">
        <v>0.09</v>
      </c>
      <c r="K8">
        <v>0.06</v>
      </c>
      <c r="L8">
        <v>0.67</v>
      </c>
      <c r="M8">
        <v>0.04</v>
      </c>
      <c r="N8">
        <v>7.0000000000000007E-2</v>
      </c>
      <c r="P8">
        <v>0.1</v>
      </c>
      <c r="Q8">
        <v>7.0000000000000007E-2</v>
      </c>
      <c r="R8">
        <v>0.05</v>
      </c>
      <c r="S8">
        <v>0.69</v>
      </c>
      <c r="T8">
        <v>0.04</v>
      </c>
      <c r="U8">
        <v>0.06</v>
      </c>
      <c r="W8">
        <v>0.06</v>
      </c>
      <c r="X8">
        <v>0.08</v>
      </c>
      <c r="Y8">
        <v>7.0000000000000007E-2</v>
      </c>
      <c r="Z8">
        <v>0.7</v>
      </c>
      <c r="AA8">
        <v>0.02</v>
      </c>
      <c r="AB8">
        <v>0.06</v>
      </c>
      <c r="AD8">
        <v>0.06</v>
      </c>
      <c r="AE8">
        <v>0.11</v>
      </c>
      <c r="AF8">
        <v>0.06</v>
      </c>
      <c r="AG8">
        <v>0.67</v>
      </c>
      <c r="AH8">
        <v>0.04</v>
      </c>
      <c r="AI8">
        <v>7.0000000000000007E-2</v>
      </c>
      <c r="AK8">
        <v>7.0000000000000007E-2</v>
      </c>
      <c r="AL8">
        <v>0.06</v>
      </c>
      <c r="AM8">
        <v>0.11</v>
      </c>
      <c r="AN8">
        <v>0.65</v>
      </c>
      <c r="AO8">
        <v>0.04</v>
      </c>
      <c r="AP8">
        <v>0.08</v>
      </c>
      <c r="AS8">
        <v>7.0000000000000007E-2</v>
      </c>
      <c r="AT8">
        <v>0.06</v>
      </c>
      <c r="AU8">
        <v>0.06</v>
      </c>
      <c r="AV8">
        <v>0.71</v>
      </c>
      <c r="AW8">
        <v>0.03</v>
      </c>
      <c r="AX8">
        <v>0.08</v>
      </c>
      <c r="AZ8">
        <v>0.06</v>
      </c>
      <c r="BA8">
        <v>0.06</v>
      </c>
      <c r="BB8">
        <v>0.05</v>
      </c>
      <c r="BC8">
        <v>0.73</v>
      </c>
      <c r="BD8">
        <v>0.05</v>
      </c>
      <c r="BE8">
        <v>0.05</v>
      </c>
    </row>
    <row r="9" spans="1:57" x14ac:dyDescent="0.25">
      <c r="A9" t="s">
        <v>4</v>
      </c>
      <c r="B9" s="1">
        <f t="shared" si="2"/>
        <v>0.11285714285714285</v>
      </c>
      <c r="C9" s="1">
        <f t="shared" si="3"/>
        <v>0.16285714285714287</v>
      </c>
      <c r="D9" s="1">
        <f t="shared" si="7"/>
        <v>0.11142857142857143</v>
      </c>
      <c r="E9" s="1">
        <f t="shared" si="4"/>
        <v>0.12571428571428572</v>
      </c>
      <c r="F9" s="6">
        <f>AVERAGE(M9,T9,AA9,AH9,AO9,AW9,BD9)</f>
        <v>0.30285714285714288</v>
      </c>
      <c r="G9" s="1">
        <f t="shared" si="6"/>
        <v>0.18285714285714286</v>
      </c>
      <c r="I9">
        <v>0.13</v>
      </c>
      <c r="J9">
        <v>0.17</v>
      </c>
      <c r="K9">
        <v>0.08</v>
      </c>
      <c r="L9">
        <v>0.12</v>
      </c>
      <c r="M9">
        <v>0.31</v>
      </c>
      <c r="N9">
        <v>0.2</v>
      </c>
      <c r="P9">
        <v>0.11</v>
      </c>
      <c r="Q9">
        <v>0.17</v>
      </c>
      <c r="R9">
        <v>0.11</v>
      </c>
      <c r="S9">
        <v>0.13</v>
      </c>
      <c r="T9">
        <v>0.33</v>
      </c>
      <c r="U9">
        <v>0.15</v>
      </c>
      <c r="W9">
        <v>0.1</v>
      </c>
      <c r="X9">
        <v>0.18</v>
      </c>
      <c r="Y9">
        <v>0.12</v>
      </c>
      <c r="Z9">
        <v>0.14000000000000001</v>
      </c>
      <c r="AA9">
        <v>0.27</v>
      </c>
      <c r="AB9">
        <v>0.18</v>
      </c>
      <c r="AD9">
        <v>0.1</v>
      </c>
      <c r="AE9">
        <v>0.18</v>
      </c>
      <c r="AF9">
        <v>0.11</v>
      </c>
      <c r="AG9">
        <v>0.09</v>
      </c>
      <c r="AH9">
        <v>0.28999999999999998</v>
      </c>
      <c r="AI9">
        <v>0.22</v>
      </c>
      <c r="AK9">
        <v>0.11</v>
      </c>
      <c r="AL9">
        <v>0.15</v>
      </c>
      <c r="AM9">
        <v>0.11</v>
      </c>
      <c r="AN9">
        <v>0.11</v>
      </c>
      <c r="AO9">
        <v>0.34</v>
      </c>
      <c r="AP9">
        <v>0.16</v>
      </c>
      <c r="AS9">
        <v>0.13</v>
      </c>
      <c r="AT9">
        <v>0.16</v>
      </c>
      <c r="AU9">
        <v>0.13</v>
      </c>
      <c r="AV9">
        <v>0.14000000000000001</v>
      </c>
      <c r="AW9">
        <v>0.25</v>
      </c>
      <c r="AX9">
        <v>0.21</v>
      </c>
      <c r="AZ9">
        <v>0.11</v>
      </c>
      <c r="BA9">
        <v>0.13</v>
      </c>
      <c r="BB9">
        <v>0.12</v>
      </c>
      <c r="BC9">
        <v>0.15</v>
      </c>
      <c r="BD9">
        <v>0.33</v>
      </c>
      <c r="BE9">
        <v>0.16</v>
      </c>
    </row>
    <row r="10" spans="1:57" x14ac:dyDescent="0.25">
      <c r="A10" t="s">
        <v>5</v>
      </c>
      <c r="B10" s="1">
        <f t="shared" si="2"/>
        <v>2.8571428571428574E-2</v>
      </c>
      <c r="C10" s="1">
        <f t="shared" si="3"/>
        <v>1.4285714285714286E-3</v>
      </c>
      <c r="D10" s="1">
        <f t="shared" si="7"/>
        <v>8.5714285714285719E-3</v>
      </c>
      <c r="E10" s="1">
        <f t="shared" si="4"/>
        <v>8.5714285714285719E-3</v>
      </c>
      <c r="F10" s="1">
        <f t="shared" si="5"/>
        <v>7.1428571428571435E-3</v>
      </c>
      <c r="G10" s="6">
        <f>AVERAGE(N10,U10,AB10,AI10,AP10,AX10,BE10)</f>
        <v>0.94285714285714284</v>
      </c>
      <c r="I10">
        <v>0.03</v>
      </c>
      <c r="J10">
        <v>0</v>
      </c>
      <c r="K10">
        <v>0</v>
      </c>
      <c r="L10">
        <v>0</v>
      </c>
      <c r="M10">
        <v>0</v>
      </c>
      <c r="N10">
        <v>0.97</v>
      </c>
      <c r="P10">
        <v>0.04</v>
      </c>
      <c r="Q10">
        <v>0</v>
      </c>
      <c r="R10">
        <v>0</v>
      </c>
      <c r="S10">
        <v>0.01</v>
      </c>
      <c r="T10">
        <v>0</v>
      </c>
      <c r="U10">
        <v>0.95</v>
      </c>
      <c r="W10">
        <v>0.02</v>
      </c>
      <c r="X10">
        <v>0</v>
      </c>
      <c r="Y10">
        <v>0.02</v>
      </c>
      <c r="Z10">
        <v>0.02</v>
      </c>
      <c r="AA10">
        <v>0.03</v>
      </c>
      <c r="AB10">
        <v>0.9</v>
      </c>
      <c r="AD10">
        <v>0.02</v>
      </c>
      <c r="AE10">
        <v>0</v>
      </c>
      <c r="AF10">
        <v>0</v>
      </c>
      <c r="AG10">
        <v>0.01</v>
      </c>
      <c r="AH10">
        <v>0.01</v>
      </c>
      <c r="AI10">
        <v>0.96</v>
      </c>
      <c r="AK10">
        <v>0.02</v>
      </c>
      <c r="AL10">
        <v>0</v>
      </c>
      <c r="AM10">
        <v>0.04</v>
      </c>
      <c r="AN10">
        <v>0.01</v>
      </c>
      <c r="AO10">
        <v>0</v>
      </c>
      <c r="AP10">
        <v>0.93</v>
      </c>
      <c r="AS10">
        <v>0.01</v>
      </c>
      <c r="AT10">
        <v>0</v>
      </c>
      <c r="AU10">
        <v>0</v>
      </c>
      <c r="AV10">
        <v>0.01</v>
      </c>
      <c r="AW10">
        <v>0</v>
      </c>
      <c r="AX10">
        <v>0.98</v>
      </c>
      <c r="AZ10">
        <v>0.06</v>
      </c>
      <c r="BA10">
        <v>0.01</v>
      </c>
      <c r="BB10">
        <v>0</v>
      </c>
      <c r="BC10">
        <v>0</v>
      </c>
      <c r="BD10">
        <v>0.01</v>
      </c>
      <c r="BE10">
        <v>0.91</v>
      </c>
    </row>
    <row r="11" spans="1:57" x14ac:dyDescent="0.25">
      <c r="B11" s="1"/>
      <c r="C11" s="1"/>
      <c r="D11" s="1"/>
      <c r="E11" s="1"/>
      <c r="F11" s="1"/>
      <c r="G11" s="1"/>
    </row>
    <row r="12" spans="1:57" x14ac:dyDescent="0.25">
      <c r="B12" s="6">
        <f>AVERAGE(I12,P12,W12,AD12,AK12,AS12,AZ12)</f>
        <v>0.80857142857142861</v>
      </c>
      <c r="C12" s="1"/>
      <c r="D12" s="1"/>
      <c r="E12" s="1"/>
      <c r="F12" s="1"/>
      <c r="G12" s="1"/>
      <c r="I12">
        <v>0.82</v>
      </c>
      <c r="J12">
        <v>1003</v>
      </c>
      <c r="P12">
        <v>0.81</v>
      </c>
      <c r="Q12">
        <v>998</v>
      </c>
      <c r="W12">
        <v>0.8</v>
      </c>
      <c r="X12">
        <v>998</v>
      </c>
      <c r="AD12">
        <v>0.81</v>
      </c>
      <c r="AE12">
        <v>998</v>
      </c>
      <c r="AK12">
        <v>0.8</v>
      </c>
      <c r="AL12">
        <v>999</v>
      </c>
      <c r="AS12">
        <v>0.8</v>
      </c>
      <c r="AT12">
        <v>1001</v>
      </c>
      <c r="AZ12">
        <v>0.82</v>
      </c>
      <c r="BA12">
        <v>999</v>
      </c>
    </row>
    <row r="13" spans="1:57" x14ac:dyDescent="0.25">
      <c r="B13" s="1"/>
      <c r="C13" s="1"/>
      <c r="D13" s="1"/>
      <c r="E13" s="1"/>
      <c r="F13" s="1"/>
      <c r="G13" s="1"/>
    </row>
    <row r="14" spans="1:57" x14ac:dyDescent="0.25">
      <c r="B14" s="1"/>
      <c r="C14" s="1"/>
      <c r="D14" s="1"/>
      <c r="E14" s="1"/>
      <c r="F14" s="1"/>
      <c r="G14" s="1"/>
    </row>
    <row r="15" spans="1:57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57" x14ac:dyDescent="0.25">
      <c r="A16" t="s">
        <v>0</v>
      </c>
      <c r="B16" s="6">
        <f>AVERAGE(I16,P16,W16,AD16,AK16,AS16,AZ16)</f>
        <v>0.55142857142857138</v>
      </c>
      <c r="C16" s="1">
        <f t="shared" ref="C16:C20" si="8">AVERAGE(J16,Q16,X16,AE16,AL16,AT16,BA16)</f>
        <v>1.1428571428571429E-2</v>
      </c>
      <c r="D16" s="1">
        <f t="shared" ref="D16:D20" si="9">AVERAGE(K16,R16,Y16,AF16,AM16,AU16,BB16)</f>
        <v>4.4285714285714282E-2</v>
      </c>
      <c r="E16" s="1">
        <f t="shared" ref="E16:E20" si="10">AVERAGE(L16,S16,Z16,AG16,AN16,AV16,BC16)</f>
        <v>0.10142857142857142</v>
      </c>
      <c r="F16" s="1">
        <f t="shared" ref="F16:F20" si="11">AVERAGE(M16,T16,AA16,AH16,AO16,AW16,BD16)</f>
        <v>6.4285714285714279E-2</v>
      </c>
      <c r="G16" s="1">
        <f t="shared" ref="G16:G20" si="12">AVERAGE(N16,U16,AB16,AI16,AP16,AX16,BE16)</f>
        <v>0.22428571428571428</v>
      </c>
      <c r="I16">
        <v>0.67</v>
      </c>
      <c r="J16">
        <v>0</v>
      </c>
      <c r="K16">
        <v>0</v>
      </c>
      <c r="L16">
        <v>0.17</v>
      </c>
      <c r="M16">
        <v>0</v>
      </c>
      <c r="N16">
        <v>0.17</v>
      </c>
      <c r="P16">
        <v>0.62</v>
      </c>
      <c r="Q16">
        <v>0</v>
      </c>
      <c r="R16">
        <v>0</v>
      </c>
      <c r="S16">
        <v>0.15</v>
      </c>
      <c r="T16">
        <v>0</v>
      </c>
      <c r="U16">
        <v>0.23</v>
      </c>
      <c r="W16">
        <v>0.38</v>
      </c>
      <c r="X16">
        <v>0</v>
      </c>
      <c r="Y16">
        <v>0</v>
      </c>
      <c r="Z16">
        <v>0.31</v>
      </c>
      <c r="AA16">
        <v>0.15</v>
      </c>
      <c r="AB16">
        <v>0.15</v>
      </c>
      <c r="AD16">
        <v>0.54</v>
      </c>
      <c r="AE16">
        <v>0</v>
      </c>
      <c r="AF16">
        <v>0.08</v>
      </c>
      <c r="AG16">
        <v>0.08</v>
      </c>
      <c r="AH16">
        <v>0.15</v>
      </c>
      <c r="AI16">
        <v>0.15</v>
      </c>
      <c r="AK16">
        <v>0.69</v>
      </c>
      <c r="AL16">
        <v>0</v>
      </c>
      <c r="AM16">
        <v>0</v>
      </c>
      <c r="AN16">
        <v>0</v>
      </c>
      <c r="AO16">
        <v>0</v>
      </c>
      <c r="AP16">
        <v>0.31</v>
      </c>
      <c r="AS16">
        <v>0.57999999999999996</v>
      </c>
      <c r="AT16">
        <v>0</v>
      </c>
      <c r="AU16">
        <v>0.08</v>
      </c>
      <c r="AV16">
        <v>0</v>
      </c>
      <c r="AW16">
        <v>0</v>
      </c>
      <c r="AX16">
        <v>0.33</v>
      </c>
      <c r="AZ16">
        <v>0.38</v>
      </c>
      <c r="BA16">
        <v>0.08</v>
      </c>
      <c r="BB16">
        <v>0.15</v>
      </c>
      <c r="BC16">
        <v>0</v>
      </c>
      <c r="BD16">
        <v>0.15</v>
      </c>
      <c r="BE16">
        <v>0.23</v>
      </c>
    </row>
    <row r="17" spans="1:57" x14ac:dyDescent="0.25">
      <c r="A17" t="s">
        <v>2</v>
      </c>
      <c r="B17" s="1">
        <f t="shared" ref="B16:B20" si="13">AVERAGE(I17,P17,W17,AD17,AK17,AS17,AZ17)</f>
        <v>5.2857142857142859E-2</v>
      </c>
      <c r="C17" s="6">
        <f>AVERAGE(J17,Q17,X17,AE17,AL17,AT17,BA17)</f>
        <v>0.49714285714285722</v>
      </c>
      <c r="D17" s="1">
        <f t="shared" si="9"/>
        <v>0.22285714285714284</v>
      </c>
      <c r="E17" s="1">
        <f t="shared" si="10"/>
        <v>9.2857142857142846E-2</v>
      </c>
      <c r="F17" s="1">
        <f t="shared" si="11"/>
        <v>0.10428571428571429</v>
      </c>
      <c r="G17" s="1">
        <f t="shared" si="12"/>
        <v>2.7142857142857142E-2</v>
      </c>
      <c r="I17">
        <v>0.1</v>
      </c>
      <c r="J17">
        <v>0.2</v>
      </c>
      <c r="K17">
        <v>0.3</v>
      </c>
      <c r="L17">
        <v>0.2</v>
      </c>
      <c r="M17">
        <v>0.1</v>
      </c>
      <c r="N17">
        <v>0.1</v>
      </c>
      <c r="P17">
        <v>0</v>
      </c>
      <c r="Q17">
        <v>0.55000000000000004</v>
      </c>
      <c r="R17">
        <v>0.36</v>
      </c>
      <c r="S17">
        <v>0</v>
      </c>
      <c r="T17">
        <v>0.09</v>
      </c>
      <c r="U17">
        <v>0</v>
      </c>
      <c r="W17">
        <v>0</v>
      </c>
      <c r="X17">
        <v>0.82</v>
      </c>
      <c r="Y17">
        <v>0.18</v>
      </c>
      <c r="Z17">
        <v>0</v>
      </c>
      <c r="AA17">
        <v>0</v>
      </c>
      <c r="AB17">
        <v>0</v>
      </c>
      <c r="AD17">
        <v>0</v>
      </c>
      <c r="AE17">
        <v>0.55000000000000004</v>
      </c>
      <c r="AF17">
        <v>0.27</v>
      </c>
      <c r="AG17">
        <v>0.09</v>
      </c>
      <c r="AH17">
        <v>0</v>
      </c>
      <c r="AI17">
        <v>0.09</v>
      </c>
      <c r="AK17">
        <v>0.27</v>
      </c>
      <c r="AL17">
        <v>0.27</v>
      </c>
      <c r="AM17">
        <v>0</v>
      </c>
      <c r="AN17">
        <v>0.09</v>
      </c>
      <c r="AO17">
        <v>0.36</v>
      </c>
      <c r="AP17">
        <v>0</v>
      </c>
      <c r="AS17">
        <v>0</v>
      </c>
      <c r="AT17">
        <v>0.45</v>
      </c>
      <c r="AU17">
        <v>0.36</v>
      </c>
      <c r="AV17">
        <v>0.09</v>
      </c>
      <c r="AW17">
        <v>0.09</v>
      </c>
      <c r="AX17">
        <v>0</v>
      </c>
      <c r="AZ17">
        <v>0</v>
      </c>
      <c r="BA17">
        <v>0.64</v>
      </c>
      <c r="BB17">
        <v>0.09</v>
      </c>
      <c r="BC17">
        <v>0.18</v>
      </c>
      <c r="BD17">
        <v>0.09</v>
      </c>
      <c r="BE17">
        <v>0</v>
      </c>
    </row>
    <row r="18" spans="1:57" x14ac:dyDescent="0.25">
      <c r="A18" t="s">
        <v>1</v>
      </c>
      <c r="B18" s="1">
        <f t="shared" si="13"/>
        <v>5.4285714285714291E-2</v>
      </c>
      <c r="C18" s="1">
        <f t="shared" si="8"/>
        <v>0.28714285714285709</v>
      </c>
      <c r="D18" s="6">
        <f>AVERAGE(K18,R18,Y18,AF18,AM18,AU18,BB18)</f>
        <v>0.36428571428571432</v>
      </c>
      <c r="E18" s="1">
        <f t="shared" si="10"/>
        <v>0.19999999999999998</v>
      </c>
      <c r="F18" s="1">
        <f t="shared" si="11"/>
        <v>6.1428571428571437E-2</v>
      </c>
      <c r="G18" s="1">
        <f t="shared" si="12"/>
        <v>3.2857142857142863E-2</v>
      </c>
      <c r="I18">
        <v>0.08</v>
      </c>
      <c r="J18">
        <v>0.38</v>
      </c>
      <c r="K18">
        <v>0.38</v>
      </c>
      <c r="L18">
        <v>0.08</v>
      </c>
      <c r="M18">
        <v>0</v>
      </c>
      <c r="N18">
        <v>0.08</v>
      </c>
      <c r="P18">
        <v>7.0000000000000007E-2</v>
      </c>
      <c r="Q18">
        <v>0.14000000000000001</v>
      </c>
      <c r="R18">
        <v>0.43</v>
      </c>
      <c r="S18">
        <v>0.14000000000000001</v>
      </c>
      <c r="T18">
        <v>0.21</v>
      </c>
      <c r="U18">
        <v>0</v>
      </c>
      <c r="W18">
        <v>0</v>
      </c>
      <c r="X18">
        <v>0.21</v>
      </c>
      <c r="Y18">
        <v>0.28999999999999998</v>
      </c>
      <c r="Z18">
        <v>0.43</v>
      </c>
      <c r="AA18">
        <v>0</v>
      </c>
      <c r="AB18">
        <v>7.0000000000000007E-2</v>
      </c>
      <c r="AD18">
        <v>0</v>
      </c>
      <c r="AE18">
        <v>0.36</v>
      </c>
      <c r="AF18">
        <v>0.28999999999999998</v>
      </c>
      <c r="AG18">
        <v>0.28999999999999998</v>
      </c>
      <c r="AH18">
        <v>7.0000000000000007E-2</v>
      </c>
      <c r="AI18">
        <v>0</v>
      </c>
      <c r="AK18">
        <v>0.15</v>
      </c>
      <c r="AL18">
        <v>0.15</v>
      </c>
      <c r="AM18">
        <v>0.54</v>
      </c>
      <c r="AN18">
        <v>0.15</v>
      </c>
      <c r="AO18">
        <v>0</v>
      </c>
      <c r="AP18">
        <v>0</v>
      </c>
      <c r="AS18">
        <v>0.08</v>
      </c>
      <c r="AT18">
        <v>0.23</v>
      </c>
      <c r="AU18">
        <v>0.54</v>
      </c>
      <c r="AV18">
        <v>0.08</v>
      </c>
      <c r="AW18">
        <v>0</v>
      </c>
      <c r="AX18">
        <v>0.08</v>
      </c>
      <c r="AZ18">
        <v>0</v>
      </c>
      <c r="BA18">
        <v>0.54</v>
      </c>
      <c r="BB18">
        <v>0.08</v>
      </c>
      <c r="BC18">
        <v>0.23</v>
      </c>
      <c r="BD18">
        <v>0.15</v>
      </c>
      <c r="BE18">
        <v>0</v>
      </c>
    </row>
    <row r="19" spans="1:57" x14ac:dyDescent="0.25">
      <c r="A19" t="s">
        <v>3</v>
      </c>
      <c r="B19" s="1">
        <f t="shared" si="13"/>
        <v>0.11857142857142855</v>
      </c>
      <c r="C19" s="1">
        <f t="shared" si="8"/>
        <v>0.16285714285714287</v>
      </c>
      <c r="D19" s="1">
        <f t="shared" si="9"/>
        <v>9.5714285714285738E-2</v>
      </c>
      <c r="E19" s="6">
        <f>AVERAGE(L19,S19,Z19,AG19,AN19,AV19,BC19)</f>
        <v>0.46142857142857141</v>
      </c>
      <c r="F19" s="1">
        <f t="shared" si="11"/>
        <v>5.4285714285714284E-2</v>
      </c>
      <c r="G19" s="1">
        <f t="shared" si="12"/>
        <v>0.10428571428571429</v>
      </c>
      <c r="I19">
        <v>0.18</v>
      </c>
      <c r="J19">
        <v>0.15</v>
      </c>
      <c r="K19">
        <v>0.03</v>
      </c>
      <c r="L19">
        <v>0.52</v>
      </c>
      <c r="M19">
        <v>0.03</v>
      </c>
      <c r="N19">
        <v>0.08</v>
      </c>
      <c r="P19">
        <v>0.15</v>
      </c>
      <c r="Q19">
        <v>0.21</v>
      </c>
      <c r="R19">
        <v>0.1</v>
      </c>
      <c r="S19">
        <v>0.46</v>
      </c>
      <c r="T19">
        <v>0.03</v>
      </c>
      <c r="U19">
        <v>0.05</v>
      </c>
      <c r="W19">
        <v>0.1</v>
      </c>
      <c r="X19">
        <v>0.2</v>
      </c>
      <c r="Y19">
        <v>0.03</v>
      </c>
      <c r="Z19">
        <v>0.51</v>
      </c>
      <c r="AA19">
        <v>0.03</v>
      </c>
      <c r="AB19">
        <v>0.13</v>
      </c>
      <c r="AD19">
        <v>0.08</v>
      </c>
      <c r="AE19">
        <v>0.16</v>
      </c>
      <c r="AF19">
        <v>0.13</v>
      </c>
      <c r="AG19">
        <v>0.41</v>
      </c>
      <c r="AH19">
        <v>7.0000000000000007E-2</v>
      </c>
      <c r="AI19">
        <v>0.15</v>
      </c>
      <c r="AK19">
        <v>0.13</v>
      </c>
      <c r="AL19">
        <v>0.13</v>
      </c>
      <c r="AM19">
        <v>0.16</v>
      </c>
      <c r="AN19">
        <v>0.41</v>
      </c>
      <c r="AO19">
        <v>7.0000000000000007E-2</v>
      </c>
      <c r="AP19">
        <v>0.1</v>
      </c>
      <c r="AS19">
        <v>0.11</v>
      </c>
      <c r="AT19">
        <v>0.18</v>
      </c>
      <c r="AU19">
        <v>0.15</v>
      </c>
      <c r="AV19">
        <v>0.36</v>
      </c>
      <c r="AW19">
        <v>0.08</v>
      </c>
      <c r="AX19">
        <v>0.11</v>
      </c>
      <c r="AZ19">
        <v>0.08</v>
      </c>
      <c r="BA19">
        <v>0.11</v>
      </c>
      <c r="BB19">
        <v>7.0000000000000007E-2</v>
      </c>
      <c r="BC19">
        <v>0.56000000000000005</v>
      </c>
      <c r="BD19">
        <v>7.0000000000000007E-2</v>
      </c>
      <c r="BE19">
        <v>0.11</v>
      </c>
    </row>
    <row r="20" spans="1:57" x14ac:dyDescent="0.25">
      <c r="A20" t="s">
        <v>4</v>
      </c>
      <c r="B20" s="1">
        <f t="shared" si="13"/>
        <v>0.1242857142857143</v>
      </c>
      <c r="C20" s="1">
        <f t="shared" si="8"/>
        <v>0.16857142857142859</v>
      </c>
      <c r="D20" s="1">
        <f t="shared" si="9"/>
        <v>0.16142857142857142</v>
      </c>
      <c r="E20" s="1">
        <f t="shared" si="10"/>
        <v>0.18571428571428572</v>
      </c>
      <c r="F20" s="6">
        <f>AVERAGE(M20,T20,AA20,AH20,AO20,AW20,BD20)</f>
        <v>0.10714285714285714</v>
      </c>
      <c r="G20" s="1">
        <f t="shared" si="12"/>
        <v>0.24857142857142853</v>
      </c>
      <c r="I20">
        <v>0.1</v>
      </c>
      <c r="J20">
        <v>0.19</v>
      </c>
      <c r="K20">
        <v>0.19</v>
      </c>
      <c r="L20">
        <v>0.23</v>
      </c>
      <c r="M20">
        <v>0.08</v>
      </c>
      <c r="N20">
        <v>0.21</v>
      </c>
      <c r="P20">
        <v>0.19</v>
      </c>
      <c r="Q20">
        <v>0.15</v>
      </c>
      <c r="R20">
        <v>0.15</v>
      </c>
      <c r="S20">
        <v>0.23</v>
      </c>
      <c r="T20">
        <v>0.09</v>
      </c>
      <c r="U20">
        <v>0.19</v>
      </c>
      <c r="W20">
        <v>0.11</v>
      </c>
      <c r="X20">
        <v>0.09</v>
      </c>
      <c r="Y20">
        <v>0.21</v>
      </c>
      <c r="Z20">
        <v>0.28000000000000003</v>
      </c>
      <c r="AA20">
        <v>0.06</v>
      </c>
      <c r="AB20">
        <v>0.25</v>
      </c>
      <c r="AD20">
        <v>0.08</v>
      </c>
      <c r="AE20">
        <v>0.17</v>
      </c>
      <c r="AF20">
        <v>0.11</v>
      </c>
      <c r="AG20">
        <v>0.21</v>
      </c>
      <c r="AH20">
        <v>0.13</v>
      </c>
      <c r="AI20">
        <v>0.3</v>
      </c>
      <c r="AK20">
        <v>0.13</v>
      </c>
      <c r="AL20">
        <v>0.15</v>
      </c>
      <c r="AM20">
        <v>0.17</v>
      </c>
      <c r="AN20">
        <v>0.09</v>
      </c>
      <c r="AO20">
        <v>0.15</v>
      </c>
      <c r="AP20">
        <v>0.3</v>
      </c>
      <c r="AS20">
        <v>0.09</v>
      </c>
      <c r="AT20">
        <v>0.17</v>
      </c>
      <c r="AU20">
        <v>0.17</v>
      </c>
      <c r="AV20">
        <v>0.09</v>
      </c>
      <c r="AW20">
        <v>0.11</v>
      </c>
      <c r="AX20">
        <v>0.36</v>
      </c>
      <c r="AZ20">
        <v>0.17</v>
      </c>
      <c r="BA20">
        <v>0.26</v>
      </c>
      <c r="BB20">
        <v>0.13</v>
      </c>
      <c r="BC20">
        <v>0.17</v>
      </c>
      <c r="BD20">
        <v>0.13</v>
      </c>
      <c r="BE20">
        <v>0.13</v>
      </c>
    </row>
    <row r="21" spans="1:57" x14ac:dyDescent="0.25">
      <c r="A21" t="s">
        <v>5</v>
      </c>
      <c r="B21" s="1">
        <f t="shared" ref="B21" si="14">AVERAGE(I21,P21,W21,AD21,AK21,AS21,AZ21)</f>
        <v>0.23714285714285716</v>
      </c>
      <c r="C21" s="1">
        <f t="shared" ref="C21" si="15">AVERAGE(J21,Q21,X21,AE21,AL21,AT21,BA21)</f>
        <v>4.4285714285714282E-2</v>
      </c>
      <c r="D21" s="1">
        <f t="shared" ref="D21" si="16">AVERAGE(K21,R21,Y21,AF21,AM21,AU21,BB21)</f>
        <v>7.571428571428572E-2</v>
      </c>
      <c r="E21" s="1">
        <f t="shared" ref="E21" si="17">AVERAGE(L21,S21,Z21,AG21,AN21,AV21,BC21)</f>
        <v>8.1428571428571433E-2</v>
      </c>
      <c r="F21" s="1">
        <f t="shared" ref="F21" si="18">AVERAGE(M21,T21,AA21,AH21,AO21,AW21,BD21)</f>
        <v>8.1428571428571433E-2</v>
      </c>
      <c r="G21" s="6">
        <f>AVERAGE(N21,U21,AB21,AI21,AP21,AX21,BE21)</f>
        <v>0.48142857142857143</v>
      </c>
      <c r="I21">
        <v>0.4</v>
      </c>
      <c r="J21">
        <v>0</v>
      </c>
      <c r="K21">
        <v>7.0000000000000007E-2</v>
      </c>
      <c r="L21">
        <v>0.2</v>
      </c>
      <c r="M21">
        <v>7.0000000000000007E-2</v>
      </c>
      <c r="N21">
        <v>0.27</v>
      </c>
      <c r="P21">
        <v>0.19</v>
      </c>
      <c r="Q21">
        <v>0.06</v>
      </c>
      <c r="R21">
        <v>0.13</v>
      </c>
      <c r="S21">
        <v>0</v>
      </c>
      <c r="T21">
        <v>0.13</v>
      </c>
      <c r="U21">
        <v>0.5</v>
      </c>
      <c r="W21">
        <v>0.38</v>
      </c>
      <c r="X21">
        <v>0</v>
      </c>
      <c r="Y21">
        <v>0.13</v>
      </c>
      <c r="Z21">
        <v>0.06</v>
      </c>
      <c r="AA21">
        <v>0.06</v>
      </c>
      <c r="AB21">
        <v>0.38</v>
      </c>
      <c r="AD21">
        <v>0</v>
      </c>
      <c r="AE21">
        <v>0.19</v>
      </c>
      <c r="AF21">
        <v>0.13</v>
      </c>
      <c r="AG21">
        <v>0.06</v>
      </c>
      <c r="AH21">
        <v>0.06</v>
      </c>
      <c r="AI21">
        <v>0.56000000000000005</v>
      </c>
      <c r="AK21">
        <v>0.31</v>
      </c>
      <c r="AL21">
        <v>0.06</v>
      </c>
      <c r="AM21">
        <v>0</v>
      </c>
      <c r="AN21">
        <v>0.06</v>
      </c>
      <c r="AO21">
        <v>0.06</v>
      </c>
      <c r="AP21">
        <v>0.5</v>
      </c>
      <c r="AS21">
        <v>0.13</v>
      </c>
      <c r="AT21">
        <v>0</v>
      </c>
      <c r="AU21">
        <v>7.0000000000000007E-2</v>
      </c>
      <c r="AV21">
        <v>0.13</v>
      </c>
      <c r="AW21">
        <v>0.13</v>
      </c>
      <c r="AX21">
        <v>0.53</v>
      </c>
      <c r="AZ21">
        <v>0.25</v>
      </c>
      <c r="BA21">
        <v>0</v>
      </c>
      <c r="BB21">
        <v>0</v>
      </c>
      <c r="BC21">
        <v>0.06</v>
      </c>
      <c r="BD21">
        <v>0.06</v>
      </c>
      <c r="BE21">
        <v>0.63</v>
      </c>
    </row>
    <row r="22" spans="1:57" x14ac:dyDescent="0.25">
      <c r="B22" s="1"/>
      <c r="C22" s="1"/>
      <c r="D22" s="1"/>
      <c r="E22" s="1"/>
      <c r="F22" s="1"/>
      <c r="G22" s="1"/>
    </row>
    <row r="23" spans="1:57" x14ac:dyDescent="0.25">
      <c r="B23" s="6">
        <f>AVERAGE(I23,P23,W23,AD23,AK23,AS23,AZ23)</f>
        <v>0.40857142857142853</v>
      </c>
      <c r="C23" s="1"/>
      <c r="D23" s="1"/>
      <c r="E23" s="1"/>
      <c r="F23" s="1"/>
      <c r="G23" s="1"/>
      <c r="I23">
        <v>0.35</v>
      </c>
      <c r="J23">
        <v>163</v>
      </c>
      <c r="P23">
        <v>0.44</v>
      </c>
      <c r="Q23">
        <v>168</v>
      </c>
      <c r="W23">
        <v>0.4</v>
      </c>
      <c r="X23">
        <v>168</v>
      </c>
      <c r="AD23">
        <v>0.41</v>
      </c>
      <c r="AE23">
        <v>168</v>
      </c>
      <c r="AK23">
        <v>0.43</v>
      </c>
      <c r="AL23">
        <v>167</v>
      </c>
      <c r="AS23">
        <v>0.43</v>
      </c>
      <c r="AT23">
        <v>165</v>
      </c>
      <c r="AZ23">
        <v>0.4</v>
      </c>
      <c r="BA23">
        <v>167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12</vt:i4>
      </vt:variant>
    </vt:vector>
  </HeadingPairs>
  <TitlesOfParts>
    <vt:vector size="12" baseType="lpstr">
      <vt:lpstr>Lean vs All</vt:lpstr>
      <vt:lpstr>1 All G 16y</vt:lpstr>
      <vt:lpstr>2 All D 16y</vt:lpstr>
      <vt:lpstr>All Rand</vt:lpstr>
      <vt:lpstr>h0_Multi</vt:lpstr>
      <vt:lpstr>h0 PP</vt:lpstr>
      <vt:lpstr>h0 K10</vt:lpstr>
      <vt:lpstr>BEST h0</vt:lpstr>
      <vt:lpstr>h0 2nd</vt:lpstr>
      <vt:lpstr>All PP</vt:lpstr>
      <vt:lpstr>h0 Strat</vt:lpstr>
      <vt:lpstr>h0 Strat K7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Filippo</dc:creator>
  <cp:lastModifiedBy>Filippo</cp:lastModifiedBy>
  <dcterms:created xsi:type="dcterms:W3CDTF">2020-11-27T12:28:48Z</dcterms:created>
  <dcterms:modified xsi:type="dcterms:W3CDTF">2020-12-03T21:05:35Z</dcterms:modified>
</cp:coreProperties>
</file>